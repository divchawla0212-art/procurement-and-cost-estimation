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astraenc.sharepoint.com/sites/ASTRA/ASTRA/ASTRA/Projects/AP044 – P5/004- Engineering/zFor Segregation/GAS Generators/"/>
    </mc:Choice>
  </mc:AlternateContent>
  <xr:revisionPtr revIDLastSave="858" documentId="11_4579D37431DB4ECAEAAC19BD3B09AD4DFA70428A" xr6:coauthVersionLast="47" xr6:coauthVersionMax="47" xr10:uidLastSave="{7D8B0D71-5709-4B59-B1D0-1122147B6FBE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" l="1"/>
  <c r="K15" i="1"/>
  <c r="H15" i="1"/>
  <c r="E15" i="1"/>
  <c r="B15" i="1"/>
  <c r="N14" i="1"/>
  <c r="K14" i="1"/>
  <c r="H14" i="1"/>
  <c r="E14" i="1"/>
  <c r="B14" i="1"/>
  <c r="G6" i="1"/>
  <c r="J5" i="1"/>
  <c r="J11" i="1" s="1"/>
  <c r="L5" i="1"/>
  <c r="O5" i="1"/>
  <c r="G5" i="1"/>
  <c r="D8" i="1"/>
  <c r="D7" i="1"/>
  <c r="D6" i="1"/>
  <c r="D5" i="1"/>
</calcChain>
</file>

<file path=xl/sharedStrings.xml><?xml version="1.0" encoding="utf-8"?>
<sst xmlns="http://schemas.openxmlformats.org/spreadsheetml/2006/main" count="82" uniqueCount="60">
  <si>
    <t>Description</t>
  </si>
  <si>
    <t>Qty</t>
  </si>
  <si>
    <t>Payment Terms</t>
  </si>
  <si>
    <t>Unit Price
(USD)</t>
  </si>
  <si>
    <t>Total Price
(USD)</t>
  </si>
  <si>
    <t>VAT 5%</t>
  </si>
  <si>
    <t>-</t>
  </si>
  <si>
    <t>VAT Included</t>
  </si>
  <si>
    <t>NO</t>
  </si>
  <si>
    <t>COMPARATIVE STATEMENT</t>
  </si>
  <si>
    <t xml:space="preserve">FINAL VALUE </t>
  </si>
  <si>
    <t>KERUI</t>
  </si>
  <si>
    <t>10% - Advance
15% - Upon Order Placement of Engines.
30% - Upon Receipt of Engines
35% - Upon FAT
10% - Upon SAT</t>
  </si>
  <si>
    <t>33 Weeks</t>
  </si>
  <si>
    <t>Enginer Make</t>
  </si>
  <si>
    <t>Waukesha-Canada</t>
  </si>
  <si>
    <t>ADPOWER</t>
  </si>
  <si>
    <t>FULLY COMPLIED</t>
  </si>
  <si>
    <t>Equipment suitable only for H2S content ≤ 30ppm. However as per project specifications, 50ppm is the minimum requirement. Also SOx not complied.</t>
  </si>
  <si>
    <t>AESL</t>
  </si>
  <si>
    <t>MKON (KAN)</t>
  </si>
  <si>
    <t>36-42 Weeks</t>
  </si>
  <si>
    <t>Caterpillar</t>
  </si>
  <si>
    <t>Construction Site, UAE</t>
  </si>
  <si>
    <t>20% - Advance
50% - Upon Receipt of Engines at Karachi Port
30% - Upon Shipment to Abu-Dhabi</t>
  </si>
  <si>
    <t>Site Condition 55degC. Not Complied.</t>
  </si>
  <si>
    <t>Techno Commercial proposal AESL-GTC-60808 - 22102024 -REV00.pdf</t>
  </si>
  <si>
    <t>MAN-Germany</t>
  </si>
  <si>
    <t>24-28 Weeks</t>
  </si>
  <si>
    <t>CIF Jabel Ali Port, UAE</t>
  </si>
  <si>
    <t>100% - Advance through irrevocable and confirmed LC at sight on our principal name. All banking charges will be at the buyer's end.</t>
  </si>
  <si>
    <t>Freight Chargres</t>
  </si>
  <si>
    <t>This has been included in Base Price.</t>
  </si>
  <si>
    <t>Quotation KAN E&amp;S-Sales-51124.pdf</t>
  </si>
  <si>
    <t>PEMS for Exhaust (Chinese Brand) - Optional</t>
  </si>
  <si>
    <t>Tools - Optional</t>
  </si>
  <si>
    <t>Two Years Spare Parts - Optional</t>
  </si>
  <si>
    <t>Balance of Plant + Catalytic Reduction - Optional</t>
  </si>
  <si>
    <t>24-32 Weeks</t>
  </si>
  <si>
    <t>EXW, JAFZA, Dubai, UAE</t>
  </si>
  <si>
    <t>50% - Advance along with Technically &amp; Commercially approved PO.
40% - Upon Completion
10% - After Testing &amp; Comissioning at Site</t>
  </si>
  <si>
    <t>ADP-13158-2024-935.pdf</t>
  </si>
  <si>
    <t>YES</t>
  </si>
  <si>
    <t>Rev.1</t>
  </si>
  <si>
    <t>Rev.0</t>
  </si>
  <si>
    <t>Delivery Time</t>
  </si>
  <si>
    <t>Delivery Terms</t>
  </si>
  <si>
    <t>Vendor Quotation File Name</t>
  </si>
  <si>
    <t>Technical Feedback</t>
  </si>
  <si>
    <t>Rev.2</t>
  </si>
  <si>
    <t>FCA Dongying, China</t>
  </si>
  <si>
    <t>Gas Generator + Catalytic Convertor</t>
  </si>
  <si>
    <t>18 Weeks</t>
  </si>
  <si>
    <t>ZDG2024111502 Chinese Brand.pdf</t>
  </si>
  <si>
    <t>ZDG2024110701 rev2.pdf</t>
  </si>
  <si>
    <t>Baudouin-China</t>
  </si>
  <si>
    <r>
      <t xml:space="preserve">KERUI </t>
    </r>
    <r>
      <rPr>
        <b/>
        <sz val="11"/>
        <color theme="0"/>
        <rFont val="Arial Narrow"/>
        <family val="2"/>
      </rPr>
      <t>(Chinese Brand)</t>
    </r>
  </si>
  <si>
    <t>Compliance Needs to Check
with Electrical Team</t>
  </si>
  <si>
    <t>Discount Percentage (%)</t>
  </si>
  <si>
    <t>Discount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</si>
</sst>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5"/>
      <color theme="1"/>
      <name val="Arial"/>
      <family val="2"/>
    </font>
    <font>
      <b/>
      <sz val="11"/>
      <color theme="0"/>
      <name val="Arial"/>
      <family val="2"/>
    </font>
    <font>
      <sz val="9"/>
      <color theme="1"/>
      <name val="Arial Narrow"/>
      <family val="2"/>
    </font>
    <font>
      <sz val="11"/>
      <name val="Arial Narrow"/>
      <family val="2"/>
    </font>
    <font>
      <sz val="11"/>
      <name val="Arial"/>
      <family val="2"/>
    </font>
    <font>
      <sz val="9"/>
      <name val="Arial Narrow"/>
      <family val="2"/>
    </font>
    <font>
      <b/>
      <sz val="11"/>
      <color theme="1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color rgb="FF0000FF"/>
      <name val="Arial"/>
      <family val="2"/>
    </font>
    <font>
      <b/>
      <sz val="12"/>
      <color rgb="FF0000FF"/>
      <name val="Arial"/>
      <family val="2"/>
    </font>
    <font>
      <b/>
      <sz val="12"/>
      <color rgb="FFFF0000"/>
      <name val="Arial"/>
      <family val="2"/>
    </font>
    <font>
      <sz val="11"/>
      <color rgb="FF0000FF"/>
      <name val="Arial"/>
      <family val="2"/>
    </font>
    <font>
      <b/>
      <sz val="11"/>
      <color theme="0"/>
      <name val="Arial Narrow"/>
      <family val="2"/>
    </font>
    <font>
      <b/>
      <sz val="10"/>
      <color rgb="FFC00000"/>
      <name val="Arial Narrow"/>
      <family val="2"/>
    </font>
    <font>
      <b/>
      <sz val="11"/>
      <color rgb="FF002060"/>
      <name val="Arial"/>
      <family val="2"/>
    </font>
    <font>
      <sz val="11"/>
      <color rgb="FF00206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3E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71FF7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8B8B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164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3" borderId="6" xfId="0" applyFont="1" applyFill="1" applyBorder="1" applyAlignment="1">
      <alignment horizontal="center" vertical="center"/>
    </xf>
    <xf numFmtId="2" fontId="8" fillId="3" borderId="6" xfId="0" applyNumberFormat="1" applyFont="1" applyFill="1" applyBorder="1" applyAlignment="1">
      <alignment horizontal="center" vertical="center"/>
    </xf>
    <xf numFmtId="164" fontId="8" fillId="3" borderId="6" xfId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164" fontId="8" fillId="3" borderId="1" xfId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2" fontId="8" fillId="4" borderId="6" xfId="0" applyNumberFormat="1" applyFont="1" applyFill="1" applyBorder="1" applyAlignment="1">
      <alignment horizontal="center" vertical="center"/>
    </xf>
    <xf numFmtId="164" fontId="8" fillId="4" borderId="6" xfId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164" fontId="8" fillId="4" borderId="1" xfId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 wrapText="1"/>
    </xf>
    <xf numFmtId="165" fontId="3" fillId="2" borderId="6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8" fillId="13" borderId="6" xfId="0" applyFont="1" applyFill="1" applyBorder="1" applyAlignment="1">
      <alignment horizontal="center" vertical="center"/>
    </xf>
    <xf numFmtId="2" fontId="8" fillId="13" borderId="6" xfId="0" applyNumberFormat="1" applyFont="1" applyFill="1" applyBorder="1" applyAlignment="1">
      <alignment horizontal="center" vertical="center"/>
    </xf>
    <xf numFmtId="165" fontId="8" fillId="4" borderId="6" xfId="1" applyNumberFormat="1" applyFont="1" applyFill="1" applyBorder="1" applyAlignment="1">
      <alignment horizontal="center" vertical="center"/>
    </xf>
    <xf numFmtId="164" fontId="8" fillId="13" borderId="6" xfId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Continuous" vertical="center"/>
    </xf>
    <xf numFmtId="2" fontId="8" fillId="3" borderId="6" xfId="0" applyNumberFormat="1" applyFont="1" applyFill="1" applyBorder="1" applyAlignment="1">
      <alignment horizontal="centerContinuous" vertical="center"/>
    </xf>
    <xf numFmtId="164" fontId="8" fillId="3" borderId="6" xfId="1" applyFont="1" applyFill="1" applyBorder="1" applyAlignment="1">
      <alignment horizontal="centerContinuous" vertical="center"/>
    </xf>
    <xf numFmtId="0" fontId="8" fillId="4" borderId="6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centerContinuous" vertical="center"/>
    </xf>
    <xf numFmtId="0" fontId="8" fillId="13" borderId="1" xfId="0" applyFont="1" applyFill="1" applyBorder="1" applyAlignment="1">
      <alignment horizontal="center" vertical="center"/>
    </xf>
    <xf numFmtId="165" fontId="8" fillId="13" borderId="1" xfId="1" applyNumberFormat="1" applyFont="1" applyFill="1" applyBorder="1" applyAlignment="1">
      <alignment horizontal="center" vertical="center"/>
    </xf>
    <xf numFmtId="164" fontId="8" fillId="13" borderId="1" xfId="1" applyFont="1" applyFill="1" applyBorder="1" applyAlignment="1">
      <alignment vertical="center"/>
    </xf>
    <xf numFmtId="0" fontId="10" fillId="16" borderId="5" xfId="0" applyFont="1" applyFill="1" applyBorder="1" applyAlignment="1">
      <alignment horizontal="center" vertical="center"/>
    </xf>
    <xf numFmtId="0" fontId="10" fillId="16" borderId="5" xfId="0" applyFont="1" applyFill="1" applyBorder="1" applyAlignment="1">
      <alignment horizontal="center" vertical="center" wrapText="1"/>
    </xf>
    <xf numFmtId="0" fontId="8" fillId="16" borderId="6" xfId="0" applyFont="1" applyFill="1" applyBorder="1" applyAlignment="1">
      <alignment horizontal="center" vertical="center"/>
    </xf>
    <xf numFmtId="165" fontId="8" fillId="16" borderId="6" xfId="1" applyNumberFormat="1" applyFont="1" applyFill="1" applyBorder="1" applyAlignment="1">
      <alignment horizontal="center" vertical="center"/>
    </xf>
    <xf numFmtId="2" fontId="8" fillId="16" borderId="6" xfId="0" applyNumberFormat="1" applyFont="1" applyFill="1" applyBorder="1" applyAlignment="1">
      <alignment horizontal="center" vertical="center"/>
    </xf>
    <xf numFmtId="164" fontId="8" fillId="16" borderId="6" xfId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164" fontId="8" fillId="16" borderId="1" xfId="1" applyFont="1" applyFill="1" applyBorder="1" applyAlignment="1">
      <alignment vertical="center"/>
    </xf>
    <xf numFmtId="165" fontId="8" fillId="16" borderId="1" xfId="1" applyNumberFormat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165" fontId="16" fillId="2" borderId="6" xfId="1" applyNumberFormat="1" applyFont="1" applyFill="1" applyBorder="1" applyAlignment="1">
      <alignment horizontal="center" vertical="center"/>
    </xf>
    <xf numFmtId="0" fontId="16" fillId="16" borderId="6" xfId="0" applyFont="1" applyFill="1" applyBorder="1" applyAlignment="1">
      <alignment horizontal="center" vertical="center"/>
    </xf>
    <xf numFmtId="165" fontId="16" fillId="16" borderId="6" xfId="1" applyNumberFormat="1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165" fontId="16" fillId="13" borderId="6" xfId="1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165" fontId="16" fillId="3" borderId="6" xfId="1" applyNumberFormat="1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165" fontId="16" fillId="4" borderId="6" xfId="1" applyNumberFormat="1" applyFont="1" applyFill="1" applyBorder="1" applyAlignment="1">
      <alignment horizontal="center" vertical="center"/>
    </xf>
    <xf numFmtId="0" fontId="3" fillId="0" borderId="8" xfId="0" applyFont="1" applyBorder="1"/>
    <xf numFmtId="0" fontId="6" fillId="16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indent="1"/>
    </xf>
    <xf numFmtId="0" fontId="8" fillId="2" borderId="7" xfId="0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8" fillId="13" borderId="7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3" borderId="6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" fontId="14" fillId="2" borderId="22" xfId="1" applyNumberFormat="1" applyFont="1" applyFill="1" applyBorder="1" applyAlignment="1">
      <alignment horizontal="center" vertical="center"/>
    </xf>
    <xf numFmtId="1" fontId="14" fillId="2" borderId="23" xfId="1" applyNumberFormat="1" applyFont="1" applyFill="1" applyBorder="1" applyAlignment="1">
      <alignment horizontal="center" vertical="center"/>
    </xf>
    <xf numFmtId="1" fontId="14" fillId="2" borderId="24" xfId="1" applyNumberFormat="1" applyFont="1" applyFill="1" applyBorder="1" applyAlignment="1">
      <alignment horizontal="center" vertical="center"/>
    </xf>
    <xf numFmtId="1" fontId="14" fillId="16" borderId="22" xfId="1" applyNumberFormat="1" applyFont="1" applyFill="1" applyBorder="1" applyAlignment="1">
      <alignment horizontal="center" vertical="center"/>
    </xf>
    <xf numFmtId="1" fontId="14" fillId="16" borderId="23" xfId="1" applyNumberFormat="1" applyFont="1" applyFill="1" applyBorder="1" applyAlignment="1">
      <alignment horizontal="center" vertical="center"/>
    </xf>
    <xf numFmtId="1" fontId="14" fillId="16" borderId="24" xfId="1" applyNumberFormat="1" applyFont="1" applyFill="1" applyBorder="1" applyAlignment="1">
      <alignment horizontal="center" vertical="center"/>
    </xf>
    <xf numFmtId="1" fontId="14" fillId="13" borderId="22" xfId="1" applyNumberFormat="1" applyFont="1" applyFill="1" applyBorder="1" applyAlignment="1">
      <alignment horizontal="center" vertical="center"/>
    </xf>
    <xf numFmtId="1" fontId="14" fillId="13" borderId="23" xfId="1" applyNumberFormat="1" applyFont="1" applyFill="1" applyBorder="1" applyAlignment="1">
      <alignment horizontal="center" vertical="center"/>
    </xf>
    <xf numFmtId="1" fontId="14" fillId="13" borderId="24" xfId="1" applyNumberFormat="1" applyFont="1" applyFill="1" applyBorder="1" applyAlignment="1">
      <alignment horizontal="center" vertical="center"/>
    </xf>
    <xf numFmtId="1" fontId="15" fillId="3" borderId="22" xfId="1" applyNumberFormat="1" applyFont="1" applyFill="1" applyBorder="1" applyAlignment="1">
      <alignment horizontal="center" vertical="center"/>
    </xf>
    <xf numFmtId="1" fontId="15" fillId="3" borderId="23" xfId="1" applyNumberFormat="1" applyFont="1" applyFill="1" applyBorder="1" applyAlignment="1">
      <alignment horizontal="center" vertical="center"/>
    </xf>
    <xf numFmtId="1" fontId="15" fillId="3" borderId="24" xfId="1" applyNumberFormat="1" applyFont="1" applyFill="1" applyBorder="1" applyAlignment="1">
      <alignment horizontal="center" vertical="center"/>
    </xf>
    <xf numFmtId="1" fontId="15" fillId="4" borderId="22" xfId="1" applyNumberFormat="1" applyFont="1" applyFill="1" applyBorder="1" applyAlignment="1">
      <alignment horizontal="center" vertical="center"/>
    </xf>
    <xf numFmtId="1" fontId="15" fillId="4" borderId="23" xfId="1" applyNumberFormat="1" applyFont="1" applyFill="1" applyBorder="1" applyAlignment="1">
      <alignment horizontal="center" vertical="center"/>
    </xf>
    <xf numFmtId="1" fontId="15" fillId="4" borderId="25" xfId="1" applyNumberFormat="1" applyFont="1" applyFill="1" applyBorder="1" applyAlignment="1">
      <alignment horizontal="center" vertical="center"/>
    </xf>
    <xf numFmtId="9" fontId="20" fillId="2" borderId="15" xfId="2" applyFont="1" applyFill="1" applyBorder="1" applyAlignment="1">
      <alignment horizontal="center" vertical="center"/>
    </xf>
    <xf numFmtId="9" fontId="20" fillId="2" borderId="16" xfId="2" applyFont="1" applyFill="1" applyBorder="1" applyAlignment="1">
      <alignment horizontal="center" vertical="center"/>
    </xf>
    <xf numFmtId="9" fontId="20" fillId="2" borderId="17" xfId="2" applyFont="1" applyFill="1" applyBorder="1" applyAlignment="1">
      <alignment horizontal="center" vertical="center"/>
    </xf>
    <xf numFmtId="1" fontId="19" fillId="2" borderId="2" xfId="1" applyNumberFormat="1" applyFont="1" applyFill="1" applyBorder="1" applyAlignment="1">
      <alignment horizontal="center" vertical="center"/>
    </xf>
    <xf numFmtId="1" fontId="19" fillId="2" borderId="3" xfId="1" applyNumberFormat="1" applyFont="1" applyFill="1" applyBorder="1" applyAlignment="1">
      <alignment horizontal="center" vertical="center"/>
    </xf>
    <xf numFmtId="1" fontId="19" fillId="2" borderId="4" xfId="1" applyNumberFormat="1" applyFont="1" applyFill="1" applyBorder="1" applyAlignment="1">
      <alignment horizontal="center" vertical="center"/>
    </xf>
    <xf numFmtId="1" fontId="19" fillId="16" borderId="2" xfId="1" applyNumberFormat="1" applyFont="1" applyFill="1" applyBorder="1" applyAlignment="1">
      <alignment horizontal="center" vertical="center"/>
    </xf>
    <xf numFmtId="1" fontId="19" fillId="16" borderId="3" xfId="1" applyNumberFormat="1" applyFont="1" applyFill="1" applyBorder="1" applyAlignment="1">
      <alignment horizontal="center" vertical="center"/>
    </xf>
    <xf numFmtId="1" fontId="19" fillId="16" borderId="4" xfId="1" applyNumberFormat="1" applyFont="1" applyFill="1" applyBorder="1" applyAlignment="1">
      <alignment horizontal="center" vertical="center"/>
    </xf>
    <xf numFmtId="1" fontId="19" fillId="13" borderId="2" xfId="1" applyNumberFormat="1" applyFont="1" applyFill="1" applyBorder="1" applyAlignment="1">
      <alignment horizontal="center" vertical="center"/>
    </xf>
    <xf numFmtId="1" fontId="19" fillId="13" borderId="3" xfId="1" applyNumberFormat="1" applyFont="1" applyFill="1" applyBorder="1" applyAlignment="1">
      <alignment horizontal="center" vertical="center"/>
    </xf>
    <xf numFmtId="1" fontId="19" fillId="13" borderId="4" xfId="1" applyNumberFormat="1" applyFont="1" applyFill="1" applyBorder="1" applyAlignment="1">
      <alignment horizontal="center" vertical="center"/>
    </xf>
    <xf numFmtId="1" fontId="19" fillId="3" borderId="2" xfId="1" applyNumberFormat="1" applyFont="1" applyFill="1" applyBorder="1" applyAlignment="1">
      <alignment horizontal="center" vertical="center"/>
    </xf>
    <xf numFmtId="1" fontId="19" fillId="3" borderId="3" xfId="1" applyNumberFormat="1" applyFont="1" applyFill="1" applyBorder="1" applyAlignment="1">
      <alignment horizontal="center" vertical="center"/>
    </xf>
    <xf numFmtId="1" fontId="19" fillId="3" borderId="4" xfId="1" applyNumberFormat="1" applyFont="1" applyFill="1" applyBorder="1" applyAlignment="1">
      <alignment horizontal="center" vertical="center"/>
    </xf>
    <xf numFmtId="1" fontId="19" fillId="4" borderId="2" xfId="1" applyNumberFormat="1" applyFont="1" applyFill="1" applyBorder="1" applyAlignment="1">
      <alignment horizontal="center" vertical="center"/>
    </xf>
    <xf numFmtId="1" fontId="19" fillId="4" borderId="3" xfId="1" applyNumberFormat="1" applyFont="1" applyFill="1" applyBorder="1" applyAlignment="1">
      <alignment horizontal="center" vertical="center"/>
    </xf>
    <xf numFmtId="1" fontId="19" fillId="4" borderId="20" xfId="1" applyNumberFormat="1" applyFont="1" applyFill="1" applyBorder="1" applyAlignment="1">
      <alignment horizontal="center" vertical="center"/>
    </xf>
    <xf numFmtId="9" fontId="20" fillId="16" borderId="15" xfId="2" applyFont="1" applyFill="1" applyBorder="1" applyAlignment="1">
      <alignment horizontal="center" vertical="center"/>
    </xf>
    <xf numFmtId="9" fontId="20" fillId="16" borderId="16" xfId="2" applyFont="1" applyFill="1" applyBorder="1" applyAlignment="1">
      <alignment horizontal="center" vertical="center"/>
    </xf>
    <xf numFmtId="9" fontId="20" fillId="16" borderId="17" xfId="2" applyFont="1" applyFill="1" applyBorder="1" applyAlignment="1">
      <alignment horizontal="center" vertical="center"/>
    </xf>
    <xf numFmtId="9" fontId="20" fillId="13" borderId="15" xfId="2" applyFont="1" applyFill="1" applyBorder="1" applyAlignment="1">
      <alignment horizontal="center" vertical="center"/>
    </xf>
    <xf numFmtId="9" fontId="20" fillId="13" borderId="16" xfId="2" applyFont="1" applyFill="1" applyBorder="1" applyAlignment="1">
      <alignment horizontal="center" vertical="center"/>
    </xf>
    <xf numFmtId="9" fontId="20" fillId="13" borderId="17" xfId="2" applyFont="1" applyFill="1" applyBorder="1" applyAlignment="1">
      <alignment horizontal="center" vertical="center"/>
    </xf>
    <xf numFmtId="9" fontId="20" fillId="3" borderId="15" xfId="2" applyFont="1" applyFill="1" applyBorder="1" applyAlignment="1">
      <alignment horizontal="center" vertical="center"/>
    </xf>
    <xf numFmtId="9" fontId="20" fillId="3" borderId="16" xfId="2" applyFont="1" applyFill="1" applyBorder="1" applyAlignment="1">
      <alignment horizontal="center" vertical="center"/>
    </xf>
    <xf numFmtId="9" fontId="20" fillId="3" borderId="17" xfId="2" applyFont="1" applyFill="1" applyBorder="1" applyAlignment="1">
      <alignment horizontal="center" vertical="center"/>
    </xf>
    <xf numFmtId="9" fontId="20" fillId="4" borderId="15" xfId="2" applyFont="1" applyFill="1" applyBorder="1" applyAlignment="1">
      <alignment horizontal="center" vertical="center"/>
    </xf>
    <xf numFmtId="9" fontId="20" fillId="4" borderId="16" xfId="2" applyFont="1" applyFill="1" applyBorder="1" applyAlignment="1">
      <alignment horizontal="center" vertical="center"/>
    </xf>
    <xf numFmtId="9" fontId="20" fillId="4" borderId="18" xfId="2" applyFont="1" applyFill="1" applyBorder="1" applyAlignment="1">
      <alignment horizontal="center" vertical="center"/>
    </xf>
    <xf numFmtId="0" fontId="19" fillId="8" borderId="14" xfId="0" applyFont="1" applyFill="1" applyBorder="1" applyAlignment="1">
      <alignment horizontal="left" vertical="center" indent="1"/>
    </xf>
    <xf numFmtId="0" fontId="19" fillId="8" borderId="19" xfId="0" applyFont="1" applyFill="1" applyBorder="1" applyAlignment="1">
      <alignment horizontal="left" vertical="center" indent="1"/>
    </xf>
    <xf numFmtId="0" fontId="13" fillId="8" borderId="21" xfId="0" applyFont="1" applyFill="1" applyBorder="1" applyAlignment="1">
      <alignment horizontal="left" vertical="center" inden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C9C9"/>
      <color rgb="FF0000FF"/>
      <color rgb="FFFF8B8B"/>
      <color rgb="FFFFABAB"/>
      <color rgb="FF003E00"/>
      <color rgb="FFCCFFCC"/>
      <color rgb="FF800080"/>
      <color rgb="FF71FF71"/>
      <color rgb="FF99FF99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154306</xdr:colOff>
      <xdr:row>0</xdr:row>
      <xdr:rowOff>95250</xdr:rowOff>
    </xdr:from>
    <xdr:to>
      <xdr:col>0</xdr:col>
      <xdr:colOff>1425374</xdr:colOff>
      <xdr:row>0</xdr:row>
      <xdr:rowOff>483871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84F8C4-9A5A-6402-E6C0-CE067E6603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273" t="2016" b="-1"/>
        <a:stretch/>
      </xdr:blipFill>
      <xdr:spPr>
        <a:xfrm>
          <a:off x="154306" y="95250"/>
          <a:ext cx="1274878" cy="390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3"/>
  <sheetViews>
    <sheetView tabSelected="1" workbookViewId="0">
      <selection activeCell="R15" sqref="R15"/>
    </sheetView>
  </sheetViews>
  <sheetFormatPr defaultColWidth="9.109375" defaultRowHeight="13.8" x14ac:dyDescent="0.25"/>
  <cols>
    <col min="1" max="1" width="48.109375" style="3" customWidth="1"/>
    <col min="2" max="2" width="6.44140625" style="3" customWidth="1"/>
    <col min="3" max="3" width="12.21875" style="3" customWidth="1"/>
    <col min="4" max="4" width="13.33203125" style="3" customWidth="1"/>
    <col min="5" max="5" width="6.44140625" style="3" customWidth="1"/>
    <col min="6" max="6" width="12.21875" style="3" customWidth="1"/>
    <col min="7" max="7" width="13.33203125" style="3" customWidth="1"/>
    <col min="8" max="8" width="6.44140625" style="3" customWidth="1"/>
    <col min="9" max="9" width="12.21875" style="3" customWidth="1"/>
    <col min="10" max="10" width="13.33203125" style="3" customWidth="1"/>
    <col min="11" max="11" width="6.44140625" style="3" customWidth="1"/>
    <col min="12" max="12" width="12.21875" style="3" customWidth="1"/>
    <col min="13" max="13" width="13.33203125" style="3" customWidth="1"/>
    <col min="14" max="14" width="6.44140625" style="3" customWidth="1"/>
    <col min="15" max="15" width="12.21875" style="3" customWidth="1"/>
    <col min="16" max="16" width="13.33203125" style="3" customWidth="1"/>
    <col min="17" max="16384" width="9.109375" style="3"/>
  </cols>
  <sheetData>
    <row r="1" spans="1:22" ht="42" customHeight="1" x14ac:dyDescent="0.25">
      <c r="A1" s="74" t="s">
        <v>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22" s="1" customFormat="1" ht="19.5" customHeight="1" x14ac:dyDescent="0.25">
      <c r="A2" s="71" t="s">
        <v>0</v>
      </c>
      <c r="B2" s="86" t="s">
        <v>11</v>
      </c>
      <c r="C2" s="87"/>
      <c r="D2" s="87"/>
      <c r="E2" s="91" t="s">
        <v>56</v>
      </c>
      <c r="F2" s="92"/>
      <c r="G2" s="92"/>
      <c r="H2" s="83" t="s">
        <v>16</v>
      </c>
      <c r="I2" s="84"/>
      <c r="J2" s="84"/>
      <c r="K2" s="102" t="s">
        <v>20</v>
      </c>
      <c r="L2" s="103"/>
      <c r="M2" s="103"/>
      <c r="N2" s="100" t="s">
        <v>19</v>
      </c>
      <c r="O2" s="101"/>
      <c r="P2" s="101"/>
      <c r="S2" s="3"/>
      <c r="T2" s="3"/>
      <c r="U2" s="3"/>
      <c r="V2" s="3"/>
    </row>
    <row r="3" spans="1:22" s="1" customFormat="1" ht="17.25" customHeight="1" x14ac:dyDescent="0.25">
      <c r="A3" s="72"/>
      <c r="B3" s="88" t="s">
        <v>49</v>
      </c>
      <c r="C3" s="88"/>
      <c r="D3" s="88"/>
      <c r="E3" s="93" t="s">
        <v>44</v>
      </c>
      <c r="F3" s="93"/>
      <c r="G3" s="93"/>
      <c r="H3" s="85" t="s">
        <v>44</v>
      </c>
      <c r="I3" s="85"/>
      <c r="J3" s="85"/>
      <c r="K3" s="104" t="s">
        <v>43</v>
      </c>
      <c r="L3" s="105"/>
      <c r="M3" s="106"/>
      <c r="N3" s="107" t="s">
        <v>44</v>
      </c>
      <c r="O3" s="107"/>
      <c r="P3" s="107"/>
      <c r="S3" s="3"/>
      <c r="T3" s="3"/>
      <c r="U3" s="3"/>
      <c r="V3" s="3"/>
    </row>
    <row r="4" spans="1:22" s="2" customFormat="1" ht="37.5" customHeight="1" thickBot="1" x14ac:dyDescent="0.3">
      <c r="A4" s="73"/>
      <c r="B4" s="20" t="s">
        <v>1</v>
      </c>
      <c r="C4" s="21" t="s">
        <v>3</v>
      </c>
      <c r="D4" s="21" t="s">
        <v>4</v>
      </c>
      <c r="E4" s="42" t="s">
        <v>1</v>
      </c>
      <c r="F4" s="43" t="s">
        <v>3</v>
      </c>
      <c r="G4" s="43" t="s">
        <v>4</v>
      </c>
      <c r="H4" s="26" t="s">
        <v>1</v>
      </c>
      <c r="I4" s="27" t="s">
        <v>3</v>
      </c>
      <c r="J4" s="27" t="s">
        <v>4</v>
      </c>
      <c r="K4" s="22" t="s">
        <v>1</v>
      </c>
      <c r="L4" s="23" t="s">
        <v>3</v>
      </c>
      <c r="M4" s="23" t="s">
        <v>4</v>
      </c>
      <c r="N4" s="24" t="s">
        <v>1</v>
      </c>
      <c r="O4" s="25" t="s">
        <v>3</v>
      </c>
      <c r="P4" s="25" t="s">
        <v>4</v>
      </c>
      <c r="S4" s="3"/>
      <c r="T4" s="3"/>
      <c r="U4" s="3"/>
      <c r="V4" s="3"/>
    </row>
    <row r="5" spans="1:22" s="2" customFormat="1" ht="18.600000000000001" customHeight="1" thickTop="1" x14ac:dyDescent="0.25">
      <c r="A5" s="7" t="s">
        <v>51</v>
      </c>
      <c r="B5" s="51">
        <v>2</v>
      </c>
      <c r="C5" s="52">
        <v>585000</v>
      </c>
      <c r="D5" s="52">
        <f>C5*B5</f>
        <v>1170000</v>
      </c>
      <c r="E5" s="53">
        <v>2</v>
      </c>
      <c r="F5" s="54">
        <v>423500</v>
      </c>
      <c r="G5" s="54">
        <f>F5*E5</f>
        <v>847000</v>
      </c>
      <c r="H5" s="55">
        <v>2</v>
      </c>
      <c r="I5" s="56">
        <v>597098.46</v>
      </c>
      <c r="J5" s="56">
        <f>I5*H5</f>
        <v>1194196.92</v>
      </c>
      <c r="K5" s="57">
        <v>2</v>
      </c>
      <c r="L5" s="58">
        <f>M5/K5</f>
        <v>853886.54500000004</v>
      </c>
      <c r="M5" s="58">
        <v>1707773.09</v>
      </c>
      <c r="N5" s="59">
        <v>2</v>
      </c>
      <c r="O5" s="60">
        <f>P5/N5</f>
        <v>675000</v>
      </c>
      <c r="P5" s="60">
        <v>1350000</v>
      </c>
      <c r="S5" s="3"/>
      <c r="T5" s="3"/>
      <c r="U5" s="3"/>
      <c r="V5" s="3"/>
    </row>
    <row r="6" spans="1:22" s="2" customFormat="1" ht="18.600000000000001" customHeight="1" x14ac:dyDescent="0.25">
      <c r="A6" s="7" t="s">
        <v>34</v>
      </c>
      <c r="B6" s="8">
        <v>2</v>
      </c>
      <c r="C6" s="28">
        <v>41500</v>
      </c>
      <c r="D6" s="28">
        <f>C6*B6</f>
        <v>83000</v>
      </c>
      <c r="E6" s="44">
        <v>2</v>
      </c>
      <c r="F6" s="45">
        <v>41500</v>
      </c>
      <c r="G6" s="45">
        <f>F6*E6</f>
        <v>83000</v>
      </c>
      <c r="H6" s="30"/>
      <c r="I6" s="31"/>
      <c r="J6" s="33"/>
      <c r="K6" s="10"/>
      <c r="L6" s="11"/>
      <c r="M6" s="12"/>
      <c r="N6" s="15"/>
      <c r="O6" s="16"/>
      <c r="P6" s="17"/>
      <c r="S6" s="3"/>
      <c r="T6" s="3"/>
      <c r="U6" s="3"/>
      <c r="V6" s="3"/>
    </row>
    <row r="7" spans="1:22" s="2" customFormat="1" ht="18.600000000000001" customHeight="1" x14ac:dyDescent="0.25">
      <c r="A7" s="7" t="s">
        <v>35</v>
      </c>
      <c r="B7" s="8">
        <v>1</v>
      </c>
      <c r="C7" s="28">
        <v>17000</v>
      </c>
      <c r="D7" s="28">
        <f>C7*B7</f>
        <v>17000</v>
      </c>
      <c r="E7" s="44"/>
      <c r="F7" s="46"/>
      <c r="G7" s="47"/>
      <c r="H7" s="30"/>
      <c r="I7" s="31"/>
      <c r="J7" s="33"/>
      <c r="K7" s="10"/>
      <c r="L7" s="11"/>
      <c r="M7" s="12"/>
      <c r="N7" s="15"/>
      <c r="O7" s="16"/>
      <c r="P7" s="17"/>
      <c r="S7" s="3"/>
      <c r="T7" s="3"/>
      <c r="U7" s="3"/>
      <c r="V7" s="3"/>
    </row>
    <row r="8" spans="1:22" s="2" customFormat="1" ht="18.600000000000001" customHeight="1" x14ac:dyDescent="0.25">
      <c r="A8" s="7" t="s">
        <v>36</v>
      </c>
      <c r="B8" s="8">
        <v>2</v>
      </c>
      <c r="C8" s="28">
        <v>15000</v>
      </c>
      <c r="D8" s="28">
        <f>C8*B8</f>
        <v>30000</v>
      </c>
      <c r="E8" s="44"/>
      <c r="F8" s="46"/>
      <c r="G8" s="47"/>
      <c r="H8" s="30"/>
      <c r="I8" s="31"/>
      <c r="J8" s="33"/>
      <c r="K8" s="38" t="s">
        <v>32</v>
      </c>
      <c r="L8" s="35"/>
      <c r="M8" s="36"/>
      <c r="N8" s="15"/>
      <c r="O8" s="16"/>
      <c r="P8" s="17"/>
      <c r="S8" s="3"/>
      <c r="T8" s="3"/>
      <c r="U8" s="3"/>
      <c r="V8" s="3"/>
    </row>
    <row r="9" spans="1:22" s="2" customFormat="1" ht="18.600000000000001" customHeight="1" x14ac:dyDescent="0.25">
      <c r="A9" s="7" t="s">
        <v>31</v>
      </c>
      <c r="B9" s="5"/>
      <c r="C9" s="5"/>
      <c r="D9" s="4"/>
      <c r="E9" s="44"/>
      <c r="F9" s="46"/>
      <c r="G9" s="47"/>
      <c r="H9" s="30"/>
      <c r="I9" s="31"/>
      <c r="J9" s="33"/>
      <c r="K9" s="34"/>
      <c r="L9" s="35"/>
      <c r="M9" s="36">
        <v>17500</v>
      </c>
      <c r="N9" s="37"/>
      <c r="O9" s="16"/>
      <c r="P9" s="17"/>
      <c r="S9" s="3"/>
      <c r="T9" s="3"/>
      <c r="U9" s="3"/>
      <c r="V9" s="3"/>
    </row>
    <row r="10" spans="1:22" s="2" customFormat="1" ht="18.600000000000001" customHeight="1" x14ac:dyDescent="0.25">
      <c r="A10" s="7" t="s">
        <v>37</v>
      </c>
      <c r="B10" s="5"/>
      <c r="C10" s="5"/>
      <c r="D10" s="4"/>
      <c r="E10" s="44"/>
      <c r="F10" s="46"/>
      <c r="G10" s="47"/>
      <c r="H10" s="30"/>
      <c r="I10" s="31"/>
      <c r="J10" s="33"/>
      <c r="K10" s="10"/>
      <c r="L10" s="11"/>
      <c r="M10" s="12"/>
      <c r="N10" s="15" t="s">
        <v>6</v>
      </c>
      <c r="O10" s="32">
        <v>0</v>
      </c>
      <c r="P10" s="17">
        <v>490000</v>
      </c>
      <c r="S10" s="3"/>
      <c r="T10" s="3"/>
      <c r="U10" s="3"/>
      <c r="V10" s="3"/>
    </row>
    <row r="11" spans="1:22" s="2" customFormat="1" ht="18.600000000000001" customHeight="1" x14ac:dyDescent="0.3">
      <c r="A11" s="6" t="s">
        <v>5</v>
      </c>
      <c r="B11" s="5"/>
      <c r="C11" s="5"/>
      <c r="D11" s="4"/>
      <c r="E11" s="48"/>
      <c r="F11" s="49"/>
      <c r="G11" s="50"/>
      <c r="H11" s="39" t="s">
        <v>6</v>
      </c>
      <c r="I11" s="41">
        <v>0</v>
      </c>
      <c r="J11" s="40">
        <f>J5*5%</f>
        <v>59709.845999999998</v>
      </c>
      <c r="K11" s="13"/>
      <c r="L11" s="13"/>
      <c r="M11" s="14"/>
      <c r="N11" s="18"/>
      <c r="O11" s="18"/>
      <c r="P11" s="19"/>
    </row>
    <row r="12" spans="1:22" s="2" customFormat="1" ht="18.600000000000001" customHeight="1" thickBot="1" x14ac:dyDescent="0.35">
      <c r="A12" s="116" t="s">
        <v>7</v>
      </c>
      <c r="B12" s="117" t="s">
        <v>8</v>
      </c>
      <c r="C12" s="117"/>
      <c r="D12" s="117"/>
      <c r="E12" s="118" t="s">
        <v>8</v>
      </c>
      <c r="F12" s="118"/>
      <c r="G12" s="118"/>
      <c r="H12" s="119" t="s">
        <v>42</v>
      </c>
      <c r="I12" s="119"/>
      <c r="J12" s="119"/>
      <c r="K12" s="120" t="s">
        <v>8</v>
      </c>
      <c r="L12" s="121"/>
      <c r="M12" s="122"/>
      <c r="N12" s="123" t="s">
        <v>8</v>
      </c>
      <c r="O12" s="123"/>
      <c r="P12" s="123"/>
    </row>
    <row r="13" spans="1:22" s="2" customFormat="1" ht="18.600000000000001" customHeight="1" x14ac:dyDescent="0.3">
      <c r="A13" s="176" t="s">
        <v>58</v>
      </c>
      <c r="B13" s="146">
        <v>0</v>
      </c>
      <c r="C13" s="147"/>
      <c r="D13" s="148"/>
      <c r="E13" s="164">
        <v>0</v>
      </c>
      <c r="F13" s="165"/>
      <c r="G13" s="166"/>
      <c r="H13" s="167">
        <v>0.1</v>
      </c>
      <c r="I13" s="168"/>
      <c r="J13" s="169"/>
      <c r="K13" s="170">
        <v>0</v>
      </c>
      <c r="L13" s="171"/>
      <c r="M13" s="172"/>
      <c r="N13" s="173">
        <v>0</v>
      </c>
      <c r="O13" s="174"/>
      <c r="P13" s="175"/>
    </row>
    <row r="14" spans="1:22" s="2" customFormat="1" ht="18.600000000000001" customHeight="1" x14ac:dyDescent="0.3">
      <c r="A14" s="177" t="s">
        <v>59</v>
      </c>
      <c r="B14" s="149">
        <f>D5*B13</f>
        <v>0</v>
      </c>
      <c r="C14" s="150"/>
      <c r="D14" s="151"/>
      <c r="E14" s="152">
        <f>G5*E13</f>
        <v>0</v>
      </c>
      <c r="F14" s="153"/>
      <c r="G14" s="154"/>
      <c r="H14" s="155">
        <f>J5*H13</f>
        <v>119419.692</v>
      </c>
      <c r="I14" s="156"/>
      <c r="J14" s="157"/>
      <c r="K14" s="158">
        <f>M5*K13</f>
        <v>0</v>
      </c>
      <c r="L14" s="159"/>
      <c r="M14" s="160"/>
      <c r="N14" s="161">
        <f>P5*N13</f>
        <v>0</v>
      </c>
      <c r="O14" s="162"/>
      <c r="P14" s="163"/>
    </row>
    <row r="15" spans="1:22" s="9" customFormat="1" ht="18.600000000000001" customHeight="1" thickBot="1" x14ac:dyDescent="0.35">
      <c r="A15" s="178" t="s">
        <v>10</v>
      </c>
      <c r="B15" s="131">
        <f>SUM(D5:D11)-B14</f>
        <v>1300000</v>
      </c>
      <c r="C15" s="132"/>
      <c r="D15" s="133"/>
      <c r="E15" s="134">
        <f>SUM(G5:G11)-E14</f>
        <v>930000</v>
      </c>
      <c r="F15" s="135"/>
      <c r="G15" s="136"/>
      <c r="H15" s="137">
        <f>SUM(J5:J11)-H14</f>
        <v>1134487.0739999998</v>
      </c>
      <c r="I15" s="138"/>
      <c r="J15" s="139"/>
      <c r="K15" s="140">
        <f>SUM(M5:M11)-K14</f>
        <v>1725273.09</v>
      </c>
      <c r="L15" s="141"/>
      <c r="M15" s="142"/>
      <c r="N15" s="143">
        <f>SUM(P5:P11)-N14</f>
        <v>1840000</v>
      </c>
      <c r="O15" s="144"/>
      <c r="P15" s="145"/>
    </row>
    <row r="16" spans="1:22" s="2" customFormat="1" ht="18.600000000000001" customHeight="1" x14ac:dyDescent="0.3">
      <c r="A16" s="7" t="s">
        <v>14</v>
      </c>
      <c r="B16" s="124" t="s">
        <v>15</v>
      </c>
      <c r="C16" s="124"/>
      <c r="D16" s="124"/>
      <c r="E16" s="125" t="s">
        <v>55</v>
      </c>
      <c r="F16" s="125"/>
      <c r="G16" s="125"/>
      <c r="H16" s="126" t="s">
        <v>55</v>
      </c>
      <c r="I16" s="126"/>
      <c r="J16" s="126"/>
      <c r="K16" s="127" t="s">
        <v>27</v>
      </c>
      <c r="L16" s="128"/>
      <c r="M16" s="129"/>
      <c r="N16" s="130" t="s">
        <v>22</v>
      </c>
      <c r="O16" s="130"/>
      <c r="P16" s="130"/>
    </row>
    <row r="17" spans="1:26" s="2" customFormat="1" ht="18.600000000000001" customHeight="1" x14ac:dyDescent="0.3">
      <c r="A17" s="6" t="s">
        <v>45</v>
      </c>
      <c r="B17" s="90" t="s">
        <v>13</v>
      </c>
      <c r="C17" s="90"/>
      <c r="D17" s="90"/>
      <c r="E17" s="64" t="s">
        <v>52</v>
      </c>
      <c r="F17" s="64"/>
      <c r="G17" s="64"/>
      <c r="H17" s="77" t="s">
        <v>38</v>
      </c>
      <c r="I17" s="77"/>
      <c r="J17" s="77"/>
      <c r="K17" s="110" t="s">
        <v>28</v>
      </c>
      <c r="L17" s="111"/>
      <c r="M17" s="112"/>
      <c r="N17" s="78" t="s">
        <v>21</v>
      </c>
      <c r="O17" s="78"/>
      <c r="P17" s="78"/>
    </row>
    <row r="18" spans="1:26" s="2" customFormat="1" ht="18.600000000000001" customHeight="1" x14ac:dyDescent="0.3">
      <c r="A18" s="6" t="s">
        <v>46</v>
      </c>
      <c r="B18" s="89" t="s">
        <v>50</v>
      </c>
      <c r="C18" s="89"/>
      <c r="D18" s="89"/>
      <c r="E18" s="65" t="s">
        <v>50</v>
      </c>
      <c r="F18" s="65"/>
      <c r="G18" s="65"/>
      <c r="H18" s="76" t="s">
        <v>39</v>
      </c>
      <c r="I18" s="76"/>
      <c r="J18" s="76"/>
      <c r="K18" s="97" t="s">
        <v>29</v>
      </c>
      <c r="L18" s="98"/>
      <c r="M18" s="99"/>
      <c r="N18" s="109" t="s">
        <v>23</v>
      </c>
      <c r="O18" s="109"/>
      <c r="P18" s="109"/>
    </row>
    <row r="19" spans="1:26" s="2" customFormat="1" ht="76.2" customHeight="1" x14ac:dyDescent="0.3">
      <c r="A19" s="6" t="s">
        <v>2</v>
      </c>
      <c r="B19" s="81" t="s">
        <v>12</v>
      </c>
      <c r="C19" s="81"/>
      <c r="D19" s="81"/>
      <c r="E19" s="66" t="s">
        <v>12</v>
      </c>
      <c r="F19" s="66"/>
      <c r="G19" s="66"/>
      <c r="H19" s="75" t="s">
        <v>40</v>
      </c>
      <c r="I19" s="75"/>
      <c r="J19" s="75"/>
      <c r="K19" s="113" t="s">
        <v>30</v>
      </c>
      <c r="L19" s="114"/>
      <c r="M19" s="115"/>
      <c r="N19" s="108" t="s">
        <v>24</v>
      </c>
      <c r="O19" s="108"/>
      <c r="P19" s="108"/>
    </row>
    <row r="20" spans="1:26" s="2" customFormat="1" ht="32.4" customHeight="1" x14ac:dyDescent="0.3">
      <c r="A20" s="6" t="s">
        <v>47</v>
      </c>
      <c r="B20" s="82" t="s">
        <v>54</v>
      </c>
      <c r="C20" s="82"/>
      <c r="D20" s="82"/>
      <c r="E20" s="62" t="s">
        <v>53</v>
      </c>
      <c r="F20" s="62"/>
      <c r="G20" s="62"/>
      <c r="H20" s="79" t="s">
        <v>41</v>
      </c>
      <c r="I20" s="79"/>
      <c r="J20" s="79"/>
      <c r="K20" s="94" t="s">
        <v>33</v>
      </c>
      <c r="L20" s="95"/>
      <c r="M20" s="96"/>
      <c r="N20" s="80" t="s">
        <v>26</v>
      </c>
      <c r="O20" s="80"/>
      <c r="P20" s="80"/>
    </row>
    <row r="21" spans="1:26" s="2" customFormat="1" ht="45" customHeight="1" x14ac:dyDescent="0.3">
      <c r="A21" s="29" t="s">
        <v>48</v>
      </c>
      <c r="B21" s="82" t="s">
        <v>17</v>
      </c>
      <c r="C21" s="82"/>
      <c r="D21" s="82"/>
      <c r="E21" s="63" t="s">
        <v>57</v>
      </c>
      <c r="F21" s="63"/>
      <c r="G21" s="63"/>
      <c r="H21" s="79" t="s">
        <v>17</v>
      </c>
      <c r="I21" s="79"/>
      <c r="J21" s="79"/>
      <c r="K21" s="67" t="s">
        <v>18</v>
      </c>
      <c r="L21" s="68"/>
      <c r="M21" s="69"/>
      <c r="N21" s="70" t="s">
        <v>25</v>
      </c>
      <c r="O21" s="70"/>
      <c r="P21" s="70"/>
    </row>
    <row r="22" spans="1:26" x14ac:dyDescent="0.25">
      <c r="B22" s="61"/>
      <c r="C22" s="61"/>
      <c r="D22" s="61"/>
      <c r="W22" s="2"/>
      <c r="X22" s="2"/>
      <c r="Y22" s="2"/>
      <c r="Z22" s="2"/>
    </row>
    <row r="23" spans="1:26" x14ac:dyDescent="0.25">
      <c r="W23" s="2"/>
      <c r="X23" s="2"/>
      <c r="Y23" s="2"/>
      <c r="Z23" s="2"/>
    </row>
  </sheetData>
  <mergeCells count="62">
    <mergeCell ref="B14:D14"/>
    <mergeCell ref="E14:G14"/>
    <mergeCell ref="H14:J14"/>
    <mergeCell ref="K14:M14"/>
    <mergeCell ref="N14:P14"/>
    <mergeCell ref="B13:D13"/>
    <mergeCell ref="E13:G13"/>
    <mergeCell ref="H13:J13"/>
    <mergeCell ref="K13:M13"/>
    <mergeCell ref="N13:P13"/>
    <mergeCell ref="K20:M20"/>
    <mergeCell ref="K16:M16"/>
    <mergeCell ref="K18:M18"/>
    <mergeCell ref="K15:M15"/>
    <mergeCell ref="N2:P2"/>
    <mergeCell ref="K2:M2"/>
    <mergeCell ref="K3:M3"/>
    <mergeCell ref="K12:M12"/>
    <mergeCell ref="N3:P3"/>
    <mergeCell ref="N19:P19"/>
    <mergeCell ref="N18:P18"/>
    <mergeCell ref="K17:M17"/>
    <mergeCell ref="K19:M19"/>
    <mergeCell ref="B20:D20"/>
    <mergeCell ref="B21:D21"/>
    <mergeCell ref="H21:J21"/>
    <mergeCell ref="H2:J2"/>
    <mergeCell ref="H3:J3"/>
    <mergeCell ref="B12:D12"/>
    <mergeCell ref="H12:J12"/>
    <mergeCell ref="H16:J16"/>
    <mergeCell ref="B2:D2"/>
    <mergeCell ref="B3:D3"/>
    <mergeCell ref="B18:D18"/>
    <mergeCell ref="B17:D17"/>
    <mergeCell ref="B16:D16"/>
    <mergeCell ref="E2:G2"/>
    <mergeCell ref="E3:G3"/>
    <mergeCell ref="E12:G12"/>
    <mergeCell ref="K21:M21"/>
    <mergeCell ref="N21:P21"/>
    <mergeCell ref="A2:A4"/>
    <mergeCell ref="A1:P1"/>
    <mergeCell ref="H19:J19"/>
    <mergeCell ref="H18:J18"/>
    <mergeCell ref="H17:J17"/>
    <mergeCell ref="N17:P17"/>
    <mergeCell ref="N16:P16"/>
    <mergeCell ref="B15:D15"/>
    <mergeCell ref="H15:J15"/>
    <mergeCell ref="N15:P15"/>
    <mergeCell ref="H20:J20"/>
    <mergeCell ref="N20:P20"/>
    <mergeCell ref="N12:P12"/>
    <mergeCell ref="B19:D19"/>
    <mergeCell ref="E20:G20"/>
    <mergeCell ref="E21:G21"/>
    <mergeCell ref="E15:G15"/>
    <mergeCell ref="E16:G16"/>
    <mergeCell ref="E17:G17"/>
    <mergeCell ref="E18:G18"/>
    <mergeCell ref="E19:G19"/>
  </mergeCells>
  <printOptions horizontalCentered="1"/>
  <pageMargins left="0.39370078740157483" right="0.39370078740157483" top="0.74803149606299213" bottom="0.74803149606299213" header="0.31496062992125984" footer="0.31496062992125984"/>
  <pageSetup paperSize="8" scale="9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70a3af-d370-45fa-98c2-023e20efb55b" xsi:nil="true"/>
    <lcf76f155ced4ddcb4097134ff3c332f xmlns="97731620-2086-4f26-8340-96479ca3df9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122DF866A8DC41A0312D0BC71B298F" ma:contentTypeVersion="18" ma:contentTypeDescription="Create a new document." ma:contentTypeScope="" ma:versionID="5c6045fe3a6604017dc518a87d220c1b">
  <xsd:schema xmlns:xsd="http://www.w3.org/2001/XMLSchema" xmlns:xs="http://www.w3.org/2001/XMLSchema" xmlns:p="http://schemas.microsoft.com/office/2006/metadata/properties" xmlns:ns2="fb70a3af-d370-45fa-98c2-023e20efb55b" xmlns:ns3="97731620-2086-4f26-8340-96479ca3df9b" targetNamespace="http://schemas.microsoft.com/office/2006/metadata/properties" ma:root="true" ma:fieldsID="a4eb287ea64a28b8aff4faf9ff8150fd" ns2:_="" ns3:_="">
    <xsd:import namespace="fb70a3af-d370-45fa-98c2-023e20efb55b"/>
    <xsd:import namespace="97731620-2086-4f26-8340-96479ca3df9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70a3af-d370-45fa-98c2-023e20efb55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7a6e1c-80d8-4999-bb77-e178c20c89e5}" ma:internalName="TaxCatchAll" ma:showField="CatchAllData" ma:web="fb70a3af-d370-45fa-98c2-023e20efb5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31620-2086-4f26-8340-96479ca3d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e6595fe-194e-499e-9e69-56b02064a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54B216-19CD-4661-9493-BB386D2B9583}">
  <ds:schemaRefs>
    <ds:schemaRef ds:uri="http://schemas.microsoft.com/office/2006/metadata/properties"/>
    <ds:schemaRef ds:uri="http://schemas.microsoft.com/office/infopath/2007/PartnerControls"/>
    <ds:schemaRef ds:uri="fb70a3af-d370-45fa-98c2-023e20efb55b"/>
    <ds:schemaRef ds:uri="97731620-2086-4f26-8340-96479ca3df9b"/>
  </ds:schemaRefs>
</ds:datastoreItem>
</file>

<file path=customXml/itemProps2.xml><?xml version="1.0" encoding="utf-8"?>
<ds:datastoreItem xmlns:ds="http://schemas.openxmlformats.org/officeDocument/2006/customXml" ds:itemID="{207790DB-9358-4E4F-92F7-55DA88A876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30DC30-2E9C-46DC-B5B5-1981D202DD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70a3af-d370-45fa-98c2-023e20efb55b"/>
    <ds:schemaRef ds:uri="97731620-2086-4f26-8340-96479ca3df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Nadeem Fazal</dc:creator>
  <cp:lastModifiedBy>Nadeem Fazal</cp:lastModifiedBy>
  <cp:lastPrinted>2024-11-15T12:47:24Z</cp:lastPrinted>
  <dcterms:created xsi:type="dcterms:W3CDTF">2015-06-05T18:17:20Z</dcterms:created>
  <dcterms:modified xsi:type="dcterms:W3CDTF">2024-11-15T12:54:44Z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0x010100CE122DF866A8DC41A0312D0BC71B298F</vt:lpwstr>
  </property>
  <property fmtid="{D5CDD505-2E9C-101B-9397-08002B2CF9AE}" pid="3" name="MediaServiceImageTags">
    <vt:lpwstr/>
  </property>
</Properties>
</file>