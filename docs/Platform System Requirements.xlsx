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irahu\git_workspace\procurement-and-cost-estimation\docs\"/>
    </mc:Choice>
  </mc:AlternateContent>
  <xr:revisionPtr revIDLastSave="0" documentId="13_ncr:1_{44E7CAD9-5464-4E14-8303-C188895D3D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ystem Requirements" sheetId="1" r:id="rId1"/>
    <sheet name="Cost" sheetId="2" r:id="rId2"/>
    <sheet name="How Peak Is Calculated" sheetId="3" r:id="rId3"/>
    <sheet name="Assumptions" sheetId="4" r:id="rId4"/>
  </sheets>
  <calcPr calcId="191029"/>
</workbook>
</file>

<file path=xl/calcChain.xml><?xml version="1.0" encoding="utf-8"?>
<calcChain xmlns="http://schemas.openxmlformats.org/spreadsheetml/2006/main">
  <c r="C64" i="3" l="1"/>
  <c r="C54" i="3"/>
  <c r="B54" i="3"/>
  <c r="C53" i="3"/>
  <c r="B53" i="3"/>
  <c r="C52" i="3"/>
  <c r="B52" i="3"/>
  <c r="C51" i="3"/>
  <c r="B51" i="3"/>
  <c r="C50" i="3"/>
  <c r="B50" i="3"/>
  <c r="C49" i="3"/>
  <c r="B49" i="3"/>
  <c r="C48" i="3"/>
  <c r="B48" i="3"/>
  <c r="D56" i="2"/>
  <c r="C56" i="2"/>
  <c r="D55" i="2"/>
  <c r="C55" i="2"/>
  <c r="D54" i="2"/>
  <c r="C54" i="2"/>
  <c r="D53" i="2"/>
  <c r="C53" i="2"/>
  <c r="D52" i="2"/>
  <c r="D47" i="2"/>
  <c r="B47" i="2"/>
  <c r="D46" i="2"/>
  <c r="C46" i="2"/>
  <c r="C47" i="2" s="1"/>
  <c r="C42" i="2" s="1"/>
  <c r="D45" i="2"/>
  <c r="C45" i="2"/>
  <c r="D44" i="2"/>
  <c r="C44" i="2"/>
  <c r="D43" i="2"/>
  <c r="C43" i="2"/>
  <c r="D42" i="2"/>
  <c r="D9" i="2" s="1"/>
  <c r="D38" i="2"/>
  <c r="C38" i="2"/>
  <c r="B38" i="2"/>
  <c r="B37" i="2"/>
  <c r="D34" i="2"/>
  <c r="C34" i="2"/>
  <c r="D31" i="2"/>
  <c r="C31" i="2"/>
  <c r="B31" i="2"/>
  <c r="D30" i="2"/>
  <c r="C30" i="2"/>
  <c r="C25" i="2" s="1"/>
  <c r="D29" i="2"/>
  <c r="D25" i="2" s="1"/>
  <c r="C29" i="2"/>
  <c r="B29" i="2"/>
  <c r="D28" i="2"/>
  <c r="C28" i="2"/>
  <c r="B28" i="2"/>
  <c r="D27" i="2"/>
  <c r="C27" i="2"/>
  <c r="B27" i="2"/>
  <c r="D26" i="2"/>
  <c r="C26" i="2"/>
  <c r="B26" i="2"/>
  <c r="D23" i="2"/>
  <c r="C23" i="2"/>
  <c r="B23" i="2"/>
  <c r="D22" i="2"/>
  <c r="C22" i="2"/>
  <c r="B22" i="2"/>
  <c r="D21" i="2"/>
  <c r="C21" i="2"/>
  <c r="B21" i="2"/>
  <c r="D20" i="2"/>
  <c r="C20" i="2"/>
  <c r="B20" i="2"/>
  <c r="D19" i="2"/>
  <c r="C19" i="2"/>
  <c r="D17" i="2"/>
  <c r="C17" i="2"/>
  <c r="B17" i="2"/>
  <c r="D16" i="2"/>
  <c r="C16" i="2"/>
  <c r="D14" i="2"/>
  <c r="C14" i="2"/>
  <c r="B14" i="2"/>
  <c r="D13" i="2"/>
  <c r="D12" i="2" s="1"/>
  <c r="C13" i="2"/>
  <c r="B13" i="2"/>
  <c r="C12" i="2"/>
  <c r="D31" i="1"/>
  <c r="D30" i="1"/>
  <c r="D29" i="1"/>
  <c r="I20" i="1"/>
  <c r="I19" i="1"/>
  <c r="I18" i="1"/>
  <c r="I17" i="1"/>
  <c r="H14" i="1"/>
  <c r="G14" i="1"/>
  <c r="F14" i="1"/>
  <c r="E14" i="1"/>
  <c r="D14" i="1"/>
  <c r="F11" i="1"/>
  <c r="E11" i="1"/>
  <c r="D11" i="1"/>
  <c r="H10" i="1"/>
  <c r="G10" i="1"/>
  <c r="F10" i="1"/>
  <c r="E10" i="1"/>
  <c r="D10" i="1"/>
  <c r="H6" i="1"/>
  <c r="G6" i="1"/>
  <c r="D6" i="1"/>
  <c r="H5" i="1"/>
  <c r="G5" i="1"/>
  <c r="D5" i="1"/>
  <c r="B74" i="3" l="1"/>
  <c r="D64" i="3"/>
  <c r="B64" i="3"/>
  <c r="C52" i="2"/>
  <c r="C9" i="2"/>
  <c r="C37" i="2"/>
  <c r="C36" i="2" s="1"/>
  <c r="C40" i="2" s="1"/>
  <c r="D37" i="2"/>
  <c r="D36" i="2" s="1"/>
  <c r="D40" i="2"/>
  <c r="B73" i="3" l="1"/>
  <c r="B75" i="3" s="1"/>
  <c r="C49" i="2"/>
  <c r="B63" i="3"/>
  <c r="C8" i="2"/>
  <c r="E8" i="2"/>
  <c r="D63" i="3"/>
  <c r="C63" i="3"/>
  <c r="D8" i="2"/>
  <c r="D49" i="2"/>
  <c r="B77" i="3" l="1"/>
  <c r="D6" i="2"/>
  <c r="C62" i="3"/>
  <c r="D61" i="3"/>
  <c r="C61" i="3"/>
  <c r="D7" i="2"/>
  <c r="C6" i="2"/>
  <c r="B62" i="3"/>
  <c r="C7" i="2"/>
  <c r="B61" i="3"/>
  <c r="E9" i="2"/>
  <c r="B76" i="3"/>
</calcChain>
</file>

<file path=xl/sharedStrings.xml><?xml version="1.0" encoding="utf-8"?>
<sst xmlns="http://schemas.openxmlformats.org/spreadsheetml/2006/main" count="631" uniqueCount="497">
  <si>
    <t>Platform System Requirements</t>
  </si>
  <si>
    <t>One deployment on AWS. Five job-worker containers run at all times; everything else is a single shared service.</t>
  </si>
  <si>
    <t>AT A GLANCE</t>
  </si>
  <si>
    <t>Typical - what runs around the clock</t>
  </si>
  <si>
    <t>Five workers plus two web containers</t>
  </si>
  <si>
    <t>Peak - the busiest the platform gets</t>
  </si>
  <si>
    <t>Web tier scales; the five workers do not change</t>
  </si>
  <si>
    <t>Component</t>
  </si>
  <si>
    <t>What it actually runs</t>
  </si>
  <si>
    <t>AWS service</t>
  </si>
  <si>
    <t>How
many</t>
  </si>
  <si>
    <t>Cores
each</t>
  </si>
  <si>
    <t>GB
each</t>
  </si>
  <si>
    <t>Cores
total</t>
  </si>
  <si>
    <t>GB
total</t>
  </si>
  <si>
    <t>Storage</t>
  </si>
  <si>
    <t>Needs code
change?</t>
  </si>
  <si>
    <t>Note</t>
  </si>
  <si>
    <t>1.  BACKEND JOB WORKERS  -  the five always-running instances</t>
  </si>
  <si>
    <t>The requirement. Five containers, up around the clock.</t>
  </si>
  <si>
    <t>Job worker container</t>
  </si>
  <si>
    <t>Unpacks a tender, classifies documents, calls the model, stores the facts</t>
  </si>
  <si>
    <t>ECS Fargate task</t>
  </si>
  <si>
    <t>-</t>
  </si>
  <si>
    <t>YES - C1, C2</t>
  </si>
  <si>
    <t>One tender each, so five run in parallel. Size is fixed when the container starts.</t>
  </si>
  <si>
    <t>Extra workers on demand</t>
  </si>
  <si>
    <t>Started automatically when the queue backs up</t>
  </si>
  <si>
    <t>YES - C1</t>
  </si>
  <si>
    <t>Optional. Five is the floor, not the ceiling. Set the count on the Assumptions tab.</t>
  </si>
  <si>
    <t>2.  WEB / API TIER  -  what people actually see</t>
  </si>
  <si>
    <t>Separate from the workers so a long job never blocks a screen.</t>
  </si>
  <si>
    <t>Web / API container</t>
  </si>
  <si>
    <t>uvicorn api.main:app plus the compiled React front end, one origin</t>
  </si>
  <si>
    <t>No</t>
  </si>
  <si>
    <t>Two is the availability floor - one container makes every deploy an outage.</t>
  </si>
  <si>
    <t>3.  STORAGE, QUEUE AND LOGS  -  one of each</t>
  </si>
  <si>
    <t>One organisation means one set. None of this is duplicated.</t>
  </si>
  <si>
    <t>System file store</t>
  </si>
  <si>
    <t>auth.json, workflow.json, bidders.db, the stored tenders</t>
  </si>
  <si>
    <t>EFS</t>
  </si>
  <si>
    <t>YES - C4</t>
  </si>
  <si>
    <t>The system of record. Shared by every container, so it cannot be local disk.</t>
  </si>
  <si>
    <t>Document store</t>
  </si>
  <si>
    <t>Every uploaded drawing, datasheet and vendor proposal</t>
  </si>
  <si>
    <t>S3</t>
  </si>
  <si>
    <t>YES - C3</t>
  </si>
  <si>
    <t>Stored by a fingerprint of the contents, so the same file twice takes one copy.</t>
  </si>
  <si>
    <t>Job queue</t>
  </si>
  <si>
    <t>One message per tender, plus a dead-letter queue for poison documents</t>
  </si>
  <si>
    <t>SQS + DLQ</t>
  </si>
  <si>
    <t>How work gets from the web tier to the five workers.</t>
  </si>
  <si>
    <t>Logs</t>
  </si>
  <si>
    <t>Application logs, access logs, job outcomes</t>
  </si>
  <si>
    <t>CloudWatch Logs</t>
  </si>
  <si>
    <t>Ingestion is the cost, not storage.</t>
  </si>
  <si>
    <t>4.  SHARED CLOUD SERVICES</t>
  </si>
  <si>
    <t>Supporting services. None of it scales with users.</t>
  </si>
  <si>
    <t>Load balancer</t>
  </si>
  <si>
    <t>One public entry point, TLS termination, health checks</t>
  </si>
  <si>
    <t>Application Load Balancer</t>
  </si>
  <si>
    <t>Also what notices a sick container and stops sending it traffic.</t>
  </si>
  <si>
    <t>TLS certificate</t>
  </si>
  <si>
    <t>The https:// certificate</t>
  </si>
  <si>
    <t>ACM</t>
  </si>
  <si>
    <t>Free with AWS-issued certificates, renews itself.</t>
  </si>
  <si>
    <t>DNS</t>
  </si>
  <si>
    <t>The hostname people type</t>
  </si>
  <si>
    <t>Route 53</t>
  </si>
  <si>
    <t>Image registry</t>
  </si>
  <si>
    <t>One image, used by both the workers and the web tier</t>
  </si>
  <si>
    <t>ECR</t>
  </si>
  <si>
    <t>Build once, run everywhere. Workers and web differ only by start command.</t>
  </si>
  <si>
    <t>Container scheduler</t>
  </si>
  <si>
    <t>Places and restarts containers when they die</t>
  </si>
  <si>
    <t>ECS cluster (Fargate)</t>
  </si>
  <si>
    <t>The cluster is free; you pay for the containers.</t>
  </si>
  <si>
    <t>Network</t>
  </si>
  <si>
    <t>One private network across two availability zones</t>
  </si>
  <si>
    <t>VPC</t>
  </si>
  <si>
    <t>Containers have no public address.</t>
  </si>
  <si>
    <t>Internet egress</t>
  </si>
  <si>
    <t>Outbound HTTPS to the model provider</t>
  </si>
  <si>
    <t>NAT Gateway</t>
  </si>
  <si>
    <t>The only thing the system phones out to. Billed hourly whether used or not.</t>
  </si>
  <si>
    <t>Private AWS access</t>
  </si>
  <si>
    <t>Image pulls, logs, secrets without crossing the internet</t>
  </si>
  <si>
    <t>VPC endpoints</t>
  </si>
  <si>
    <t>Pays for itself by keeping that traffic off the NAT Gateway.</t>
  </si>
  <si>
    <t>Secret storage</t>
  </si>
  <si>
    <t>Model provider API key and app secrets</t>
  </si>
  <si>
    <t>Secrets Manager</t>
  </si>
  <si>
    <t>Replaces baking the key into the image - see the Dockerfile's own warning.</t>
  </si>
  <si>
    <t>Monitoring</t>
  </si>
  <si>
    <t>Dashboards and alarms, including queue depth</t>
  </si>
  <si>
    <t>CloudWatch</t>
  </si>
  <si>
    <t>Queue depth is the alarm that matters: it means work is arriving faster than five workers can clear it.</t>
  </si>
  <si>
    <t>Backup</t>
  </si>
  <si>
    <t>Scheduled snapshots of the file store</t>
  </si>
  <si>
    <t>AWS Backup</t>
  </si>
  <si>
    <t>The store is the system of record. There is no second copy.</t>
  </si>
  <si>
    <t>5.  CHANGES THIS NEEDS IN THE SOFTWARE</t>
  </si>
  <si>
    <t>These cannot be bought. They have to be built.</t>
  </si>
  <si>
    <t>C1</t>
  </si>
  <si>
    <t>Move tender processing out of the web request into the queue</t>
  </si>
  <si>
    <t>BLOCKS LAUNCH</t>
  </si>
  <si>
    <t>A tender is about 102 model calls in sequence, roughly 34 minutes. A load balancer closes an idle connection after 60 seconds, so the browser's request dies long before the work finishes.</t>
  </si>
  <si>
    <t>C2</t>
  </si>
  <si>
    <t>Replace the in-process job lock with a shared one</t>
  </si>
  <si>
    <t>The guard that stops one tender being processed twice lives inside a single Python process. With five workers, two of them can start the same tender and overwrite each other.</t>
  </si>
  <si>
    <t>C3</t>
  </si>
  <si>
    <t>Implement the S3 document store</t>
  </si>
  <si>
    <t>Documents are written to local disk today, which no other container can read. The storage interface was written expecting this, so it is a new class rather than a redesign.</t>
  </si>
  <si>
    <t>C4</t>
  </si>
  <si>
    <t>Decide how the bidder registry is written</t>
  </si>
  <si>
    <t>Workaround available</t>
  </si>
  <si>
    <t>It is a SQLite file, and SQLite on shared network storage with several writers can corrupt. Free fix: route registry writes through one nominated worker. Durable fix: a managed database.</t>
  </si>
  <si>
    <t>C5</t>
  </si>
  <si>
    <t>Add token metering</t>
  </si>
  <si>
    <t>Billing only</t>
  </si>
  <si>
    <t>Nothing counts the tokens spent. Costs here can be budgeted but not attributed to a department or a project.</t>
  </si>
  <si>
    <t>6.  DELIBERATELY NOT INCLUDED</t>
  </si>
  <si>
    <t>Things a reader may expect, and why each is absent.</t>
  </si>
  <si>
    <t>Separate web server (nginx)</t>
  </si>
  <si>
    <t>The image already serves the API and the front end from one process and one address.</t>
  </si>
  <si>
    <t>Managed database (RDS)</t>
  </si>
  <si>
    <t>Every store is a file today. Only needed if C4 is solved by moving to a database.</t>
  </si>
  <si>
    <t>Cache layer (Redis)</t>
  </si>
  <si>
    <t>There is no cache in the software, and nothing here is read-heavy enough to need one.</t>
  </si>
  <si>
    <t>CDN (CloudFront)</t>
  </si>
  <si>
    <t>The front-end bundle is small and served from the same address as the API.</t>
  </si>
  <si>
    <t>GPU capacity</t>
  </si>
  <si>
    <t>No model runs on our own hardware. Every model call is an outbound request to the provider.</t>
  </si>
  <si>
    <t>Kubernetes (EKS)</t>
  </si>
  <si>
    <t>About $75/month of control plane plus real operational burden, to schedule seven containers.</t>
  </si>
  <si>
    <t>Per-user or per-department isolation</t>
  </si>
  <si>
    <t>One organisation, one shared store. Access is controlled inside the application, not by separate infrastructure.</t>
  </si>
  <si>
    <t>Sizing note: the workers are sized for memory, not processor. About 99% of a tender run is spent waiting on the model provider's API,</t>
  </si>
  <si>
    <t>so processor use barely moves. What does move is memory - parsing a 220,000-character proposal, and loading a 1,346-row vendor spreadsheet.</t>
  </si>
  <si>
    <t>Running Cost</t>
  </si>
  <si>
    <t>One deployment, per month. Typical is a normal month; peak is the busiest the platform gets, held for a whole month.</t>
  </si>
  <si>
    <t>Every rate comes from the Assumptions tab. Nothing on this page is typed in by hand.</t>
  </si>
  <si>
    <t>TYPICAL
$ / month</t>
  </si>
  <si>
    <t>PEAK
$ / month</t>
  </si>
  <si>
    <t>TOTAL - everything, per month</t>
  </si>
  <si>
    <t>TOTAL - everything, per year</t>
  </si>
  <si>
    <t xml:space="preserve">   of which cloud services</t>
  </si>
  <si>
    <t xml:space="preserve">   of which the model API</t>
  </si>
  <si>
    <t>Line item</t>
  </si>
  <si>
    <t>How it is worked out</t>
  </si>
  <si>
    <t>Typical
$ / month</t>
  </si>
  <si>
    <t>Peak
$ / month</t>
  </si>
  <si>
    <t>1.  BACKEND JOB WORKERS</t>
  </si>
  <si>
    <t>The five always-running containers - a fixed cost, identical in both columns</t>
  </si>
  <si>
    <t>Five job workers</t>
  </si>
  <si>
    <t>Up around the clock, busy or not. This is what 'always running' costs.</t>
  </si>
  <si>
    <t>Zero unless you set a count. Each extra worker costs the same as one of the five.</t>
  </si>
  <si>
    <t>2.  WEB / API TIER</t>
  </si>
  <si>
    <t>Scales with how many people are using the screens</t>
  </si>
  <si>
    <t>Web/API containers</t>
  </si>
  <si>
    <t>Two is the availability floor; more only when people are actually on it.</t>
  </si>
  <si>
    <t>3.  STORAGE, QUEUE AND LOGS</t>
  </si>
  <si>
    <t>One set for the whole platform</t>
  </si>
  <si>
    <t>System file store (EFS)</t>
  </si>
  <si>
    <t>The expensive storage tier, and why bulk documents belong in S3 instead.</t>
  </si>
  <si>
    <t>Document store (S3)</t>
  </si>
  <si>
    <t>Thirteen times cheaper per GB than the file store, and it never runs out of room.</t>
  </si>
  <si>
    <t>Job queue (SQS)</t>
  </si>
  <si>
    <t>Effectively free at this scale.</t>
  </si>
  <si>
    <t>Logs (CloudWatch)</t>
  </si>
  <si>
    <t>Supporting services - largely flat whatever happens</t>
  </si>
  <si>
    <t>One public entry point for the whole platform.</t>
  </si>
  <si>
    <t>NAT Gateways</t>
  </si>
  <si>
    <t>Billed hourly whether traffic flows or not. One zone halves it and costs resilience.</t>
  </si>
  <si>
    <t>Pays for itself by keeping image pulls and logs off the NAT Gateway.</t>
  </si>
  <si>
    <t>Image registry (ECR)</t>
  </si>
  <si>
    <t>One image for every container.</t>
  </si>
  <si>
    <t>DNS (Route 53)</t>
  </si>
  <si>
    <t>One hosted zone</t>
  </si>
  <si>
    <t>Keeps the provider key out of the image.</t>
  </si>
  <si>
    <t>Container scheduler (ECS)</t>
  </si>
  <si>
    <t>Fargate cluster</t>
  </si>
  <si>
    <t>No charge for the cluster itself.</t>
  </si>
  <si>
    <t>TLS certificate (ACM)</t>
  </si>
  <si>
    <t>AWS-issued, renews itself</t>
  </si>
  <si>
    <t>No charge.</t>
  </si>
  <si>
    <t>Backup and snapshots</t>
  </si>
  <si>
    <t>Flat estimate</t>
  </si>
  <si>
    <t>The store is the system of record. Not an optional line.</t>
  </si>
  <si>
    <t>5.  ADJUSTMENTS</t>
  </si>
  <si>
    <t>Both are zero until you change a lever on the Assumptions tab</t>
  </si>
  <si>
    <t>Region uplift</t>
  </si>
  <si>
    <t>Set to about 1.15-1.20 to price the UAE region instead of Virginia.</t>
  </si>
  <si>
    <t>Compute Savings Plan</t>
  </si>
  <si>
    <t>Five always-on containers are exactly what a Savings Plan is for.</t>
  </si>
  <si>
    <t>CLOUD SERVICES SUBTOTAL</t>
  </si>
  <si>
    <t>Sections 1 to 5</t>
  </si>
  <si>
    <t>6.  MODEL API</t>
  </si>
  <si>
    <t>Not an AWS cost. Charged per document read, not per hour.</t>
  </si>
  <si>
    <t>Documents processed</t>
  </si>
  <si>
    <t>Weekly volume x weeks in the month</t>
  </si>
  <si>
    <t>MB per month</t>
  </si>
  <si>
    <t>Input tokens</t>
  </si>
  <si>
    <t>Document text plus prompt overhead, at measured rates</t>
  </si>
  <si>
    <t>Millions of tokens per month</t>
  </si>
  <si>
    <t>Output tokens</t>
  </si>
  <si>
    <t>Extracted facts written back as structured data</t>
  </si>
  <si>
    <t>Model calls at list price</t>
  </si>
  <si>
    <t>Input and output tokens at the per-million rates</t>
  </si>
  <si>
    <t>Sonnet 5 by default. Set the Opus share on the Assumptions tab.</t>
  </si>
  <si>
    <t>Failed and retried calls</t>
  </si>
  <si>
    <t>A chunk that hits the output ceiling fails the same way twice, so both attempts are billed.</t>
  </si>
  <si>
    <t>GRAND TOTAL - per month</t>
  </si>
  <si>
    <t>Cloud services plus the model API</t>
  </si>
  <si>
    <t>7.  WAYS TO SPEND LESS</t>
  </si>
  <si>
    <t>Not included in the totals above. Figures are the saving.</t>
  </si>
  <si>
    <t>Use the batch service for tender processing</t>
  </si>
  <si>
    <t>Halves every model-API line</t>
  </si>
  <si>
    <t>Processing already runs in the background, so the only cost is slower turnaround.</t>
  </si>
  <si>
    <t>Move documents to S3 (change C3)</t>
  </si>
  <si>
    <t>Storage at $0.023 instead of $0.30 per GB</t>
  </si>
  <si>
    <t>Also removes the shared-storage risk in change C4.</t>
  </si>
  <si>
    <t>1-year Compute Savings Plan</t>
  </si>
  <si>
    <t>About 17% off always-on containers</t>
  </si>
  <si>
    <t>Set the discount lever on the Assumptions tab to fold this into the totals.</t>
  </si>
  <si>
    <t>Run the five workers on Spot capacity</t>
  </si>
  <si>
    <t>About 70% off the worker line</t>
  </si>
  <si>
    <t>An interrupted job returns to the queue and another worker takes it. The web tier stays on-demand.</t>
  </si>
  <si>
    <t>Drop to one NAT Gateway</t>
  </si>
  <si>
    <t>One availability zone instead of two</t>
  </si>
  <si>
    <t>Cheapest saving here, and the only one that buys a worse system. Not recommended.</t>
  </si>
  <si>
    <t>Reading the two columns: 'typical' is a normal month. 'Peak' assumes the busiest the platform gets, held for a full month,</t>
  </si>
  <si>
    <t>which no month ever does. It is a budget ceiling, not a forecast. See the next tab for how it is built.</t>
  </si>
  <si>
    <t>Prices are us-east-1 list prices copied by hand and will go stale. Check them before quoting anything.</t>
  </si>
  <si>
    <t>How the peak figure is worked out</t>
  </si>
  <si>
    <t>A plain-English guide. No cloud knowledge needed - the technical detail is at the end for those who want it.</t>
  </si>
  <si>
    <t>1.  The short answer</t>
  </si>
  <si>
    <t>The peak figure assumes the platform is as busy as it can possibly get, and that it stays that way</t>
  </si>
  <si>
    <t>for every single hour of the month.</t>
  </si>
  <si>
    <t>It is a ceiling - the most this could ever cost. It is not what we expect the bill to be.</t>
  </si>
  <si>
    <t>2.  A way to picture it</t>
  </si>
  <si>
    <t>Imagine you hire delivery vans.</t>
  </si>
  <si>
    <t>On a normal day you need 3 vans.</t>
  </si>
  <si>
    <t>On your busiest afternoon of the year you need 7.</t>
  </si>
  <si>
    <t>The peak figure is the cost of hiring all 7 - and keeping every one of them for the whole month,</t>
  </si>
  <si>
    <t>including the weeks you only ever needed 3.</t>
  </si>
  <si>
    <t>Nobody runs a business that way, and we would not either. The number is still worth having, because</t>
  </si>
  <si>
    <t>it is the figure you can promise the bill will never go above.</t>
  </si>
  <si>
    <t>3.  What changes between a normal month and a peak one</t>
  </si>
  <si>
    <t>What changes</t>
  </si>
  <si>
    <t>Normal month</t>
  </si>
  <si>
    <t>Peak</t>
  </si>
  <si>
    <t>What that means in plain terms</t>
  </si>
  <si>
    <t>The five job workers</t>
  </si>
  <si>
    <t>5 running</t>
  </si>
  <si>
    <t>NO CHANGE. They are always on. This is the fixed part of the bill.</t>
  </si>
  <si>
    <t>Tenders being processed</t>
  </si>
  <si>
    <t>1 at a time</t>
  </si>
  <si>
    <t>5 at a time</t>
  </si>
  <si>
    <t>The same five workers, all busy instead of mostly idle. Costs nothing extra.</t>
  </si>
  <si>
    <t>Web containers</t>
  </si>
  <si>
    <t>2</t>
  </si>
  <si>
    <t>4</t>
  </si>
  <si>
    <t>More people on the screens at once, so more copies serve them</t>
  </si>
  <si>
    <t>Documents arriving</t>
  </si>
  <si>
    <t>500 MB/week</t>
  </si>
  <si>
    <t>2,000 MB/week</t>
  </si>
  <si>
    <t>Four times the paperwork - the biggest single driver</t>
  </si>
  <si>
    <t>Storage used</t>
  </si>
  <si>
    <t>50 GB</t>
  </si>
  <si>
    <t>200 GB</t>
  </si>
  <si>
    <t>More documents held, and more history kept</t>
  </si>
  <si>
    <t>How long it lasts</t>
  </si>
  <si>
    <t>a few hours</t>
  </si>
  <si>
    <t>all 730 hours</t>
  </si>
  <si>
    <t>The rush never ends - it runs from the 1st to the 31st</t>
  </si>
  <si>
    <t>The first row is the important one.</t>
  </si>
  <si>
    <t>Because five workers run around the clock either way, being busy does not cost more than being idle.</t>
  </si>
  <si>
    <t>You have already paid for the capacity. What actually pushes the peak figure up is the volume of</t>
  </si>
  <si>
    <t>documents arriving, because reading them is charged per document.</t>
  </si>
  <si>
    <t>4.  The two kinds of cost - and this is the part worth understanding</t>
  </si>
  <si>
    <t>Cloud services</t>
  </si>
  <si>
    <t>Rented by the hour, like a hire car.</t>
  </si>
  <si>
    <t>You pay for time. An idle container costs the same as a busy one.</t>
  </si>
  <si>
    <t>Reading the documents</t>
  </si>
  <si>
    <t>Charged per document, like postage.</t>
  </si>
  <si>
    <t>You pay only for what you actually send. Idle costs nothing at all.</t>
  </si>
  <si>
    <t>So a quiet month is cheap on the reading half and unchanged on the cloud half. A busy month costs</t>
  </si>
  <si>
    <t>more almost entirely because more documents genuinely arrived - not because the servers worked harder.</t>
  </si>
  <si>
    <t>5.  One line, worked all the way through</t>
  </si>
  <si>
    <t>Take the five job workers - the programs that read a tender: they open each vendor's documents, send</t>
  </si>
  <si>
    <t>them to the AI to be read, and store what comes back.</t>
  </si>
  <si>
    <t>How many are running</t>
  </si>
  <si>
    <t>Always five - that is the requirement</t>
  </si>
  <si>
    <t>Processor cores each</t>
  </si>
  <si>
    <t>Fixed when the container starts - it cannot be resized while running</t>
  </si>
  <si>
    <t>Memory each (GB)</t>
  </si>
  <si>
    <t>Enough to hold a 220,000-character proposal while reading it</t>
  </si>
  <si>
    <t>Cost per core, per hour</t>
  </si>
  <si>
    <t>Set by Amazon</t>
  </si>
  <si>
    <t>Cost per GB, per hour</t>
  </si>
  <si>
    <t>Hours in the month</t>
  </si>
  <si>
    <t>They run for every one of them</t>
  </si>
  <si>
    <t>COST FOR THE MONTH</t>
  </si>
  <si>
    <t>workers x (cores x core price + memory x memory price) x hours</t>
  </si>
  <si>
    <t>Identical in both columns, because five workers run either way. Every other line on the Cost tab uses</t>
  </si>
  <si>
    <t>the same arithmetic - only the numbers change.</t>
  </si>
  <si>
    <t>6.  What it adds up to</t>
  </si>
  <si>
    <t>Peak is this many times bigger</t>
  </si>
  <si>
    <t>Everything, per month</t>
  </si>
  <si>
    <t>Everything, per year</t>
  </si>
  <si>
    <t xml:space="preserve">   Cloud services (rented by the hour)</t>
  </si>
  <si>
    <t xml:space="preserve">   Reading the documents (charged per document)</t>
  </si>
  <si>
    <t>7.  What a realistically busy month looks like</t>
  </si>
  <si>
    <t>The peak figure holds the rush for all 730 hours. Change the two numbers below and see what happens.</t>
  </si>
  <si>
    <t>Hours of the month spent at full stretch</t>
  </si>
  <si>
    <t>out of 730</t>
  </si>
  <si>
    <t>Type a different number here. 73 hours is about 10% of the month, or three full days.</t>
  </si>
  <si>
    <t>Documents that month, against a normal month</t>
  </si>
  <si>
    <t>x</t>
  </si>
  <si>
    <t>1.0 = a normal month's paperwork. 4.0 = the peak column's.</t>
  </si>
  <si>
    <t>That month would cost</t>
  </si>
  <si>
    <t>Quiet rate for the calm hours, full rate for the busy ones</t>
  </si>
  <si>
    <t>Scales straight with how many documents actually arrived</t>
  </si>
  <si>
    <t>A REALISTIC BUSY MONTH</t>
  </si>
  <si>
    <t>Compare with the two figures in section 6</t>
  </si>
  <si>
    <t xml:space="preserve">   more than a normal month</t>
  </si>
  <si>
    <t xml:space="preserve">   less than the peak ceiling</t>
  </si>
  <si>
    <t>8.  What this number is for - and what it is not</t>
  </si>
  <si>
    <t>Use it for</t>
  </si>
  <si>
    <t>Do not use it for</t>
  </si>
  <si>
    <t>Setting a budget ceiling nobody can exceed</t>
  </si>
  <si>
    <t>Forecasting next month's invoice</t>
  </si>
  <si>
    <t>Answering "what is the most this could cost?"</t>
  </si>
  <si>
    <t>Deciding what to charge for the service</t>
  </si>
  <si>
    <t>Checking the design survives the busiest week</t>
  </si>
  <si>
    <t>Buying capacity in advance</t>
  </si>
  <si>
    <t>Nothing here is bought up front. Because the cloud is rented by the hour, the peak figure is only ever</t>
  </si>
  <si>
    <t>paid if the peak actually happens - and if it never does, it never costs a penny.</t>
  </si>
  <si>
    <t>9.  Plain-English glossary</t>
  </si>
  <si>
    <t>Term</t>
  </si>
  <si>
    <t>What it means</t>
  </si>
  <si>
    <t>Instance</t>
  </si>
  <si>
    <t>One running container in the backend. Five job workers run at all times - those are the five instances.</t>
  </si>
  <si>
    <t>Container</t>
  </si>
  <si>
    <t>One running copy of the software. Several run at once so the system stays up and gets through work faster.</t>
  </si>
  <si>
    <t>Job worker</t>
  </si>
  <si>
    <t>The container that reads a tender: opens the documents, sends them to the AI, stores what comes back.</t>
  </si>
  <si>
    <t>Web / API tier</t>
  </si>
  <si>
    <t>The containers that serve the screens people actually look at. Kept separate so a long job never blocks a page.</t>
  </si>
  <si>
    <t>Core / vCPU</t>
  </si>
  <si>
    <t>A unit of processing power, rented by the hour. Half a core is plenty for work that mostly sits waiting.</t>
  </si>
  <si>
    <t>GB (memory)</t>
  </si>
  <si>
    <t>Working space the software needs while it has a document open. Also rented by the hour.</t>
  </si>
  <si>
    <t>Queue</t>
  </si>
  <si>
    <t>A waiting list of jobs. The web tier adds to it; the five workers take from it, one tender each.</t>
  </si>
  <si>
    <t>Fargate</t>
  </si>
  <si>
    <t>Amazon's way of running containers without renting whole machines. You pay only for the containers.</t>
  </si>
  <si>
    <t>The single front door. Takes each visitor to a healthy web container.</t>
  </si>
  <si>
    <t>Where the uploaded documents are kept. Very cheap, and it never runs out of room.</t>
  </si>
  <si>
    <t>File store (EFS)</t>
  </si>
  <si>
    <t>Faster storage for the system's own records - accounts, workflow, the bidder list.</t>
  </si>
  <si>
    <t>730 hours</t>
  </si>
  <si>
    <t>The number of hours in an average month. 365 days x 24 hours / 12 months.</t>
  </si>
  <si>
    <t>Token</t>
  </si>
  <si>
    <t>How AI reading is measured and billed - roughly three characters of text. More pages, more tokens.</t>
  </si>
  <si>
    <t>Where these numbers come from: the Assumptions tab holds every figure used here. Change one there and this page updates with it.</t>
  </si>
  <si>
    <t>Prices are Amazon's published US prices, copied by hand, and will go out of date. Check them before quoting anything.</t>
  </si>
  <si>
    <t>Assumptions &amp; Rates</t>
  </si>
  <si>
    <t>Every number the other tabs use lives here. Blue = change it. The Basis column says whether a figure was measured or estimated.</t>
  </si>
  <si>
    <t>Item</t>
  </si>
  <si>
    <t>Value</t>
  </si>
  <si>
    <t>Unit</t>
  </si>
  <si>
    <t>Basis</t>
  </si>
  <si>
    <t>SCALE - one platform, one organisation</t>
  </si>
  <si>
    <t>Hours per month</t>
  </si>
  <si>
    <t>hours</t>
  </si>
  <si>
    <t>365 x 24 / 12</t>
  </si>
  <si>
    <t>Weeks per month</t>
  </si>
  <si>
    <t>weeks</t>
  </si>
  <si>
    <t>52 / 12</t>
  </si>
  <si>
    <t>People who can sign in</t>
  </si>
  <si>
    <t>users</t>
  </si>
  <si>
    <t>Agreed</t>
  </si>
  <si>
    <t>Signed in at the same time - typical</t>
  </si>
  <si>
    <t>ESTIMATED</t>
  </si>
  <si>
    <t>Signed in at the same time - peak</t>
  </si>
  <si>
    <t>Everyone at once</t>
  </si>
  <si>
    <t>BACKEND JOB WORKERS - the five always-running instances</t>
  </si>
  <si>
    <t>Job workers running at all times</t>
  </si>
  <si>
    <t>containers</t>
  </si>
  <si>
    <t>The requirement: five, always up</t>
  </si>
  <si>
    <t>Processor cores per worker</t>
  </si>
  <si>
    <t>vCPU</t>
  </si>
  <si>
    <t>Fixed when the container starts - cannot change while running</t>
  </si>
  <si>
    <t>Memory per worker</t>
  </si>
  <si>
    <t>GB</t>
  </si>
  <si>
    <t>Sized for the largest job: a 220k-character proposal</t>
  </si>
  <si>
    <t>Extra workers if the queue backs up</t>
  </si>
  <si>
    <t>Optional scale-out beyond the five. Cost shown separately.</t>
  </si>
  <si>
    <t>WEB / API TIER - serves the screens and the API</t>
  </si>
  <si>
    <t>Web/API containers - typical</t>
  </si>
  <si>
    <t>Two zones - the availability floor, not scale</t>
  </si>
  <si>
    <t>Web/API containers - peak</t>
  </si>
  <si>
    <t>ESTIMATED - scales on request load</t>
  </si>
  <si>
    <t>Processor cores each - typical</t>
  </si>
  <si>
    <t>Mostly waiting on I/O</t>
  </si>
  <si>
    <t>Memory each - typical</t>
  </si>
  <si>
    <t>FastAPI plus the compiled front end</t>
  </si>
  <si>
    <t>Processor cores each - peak</t>
  </si>
  <si>
    <t>Memory each - peak</t>
  </si>
  <si>
    <t>Upload buffering</t>
  </si>
  <si>
    <t>WORKLOAD</t>
  </si>
  <si>
    <t>Documents arriving - typical</t>
  </si>
  <si>
    <t>MB/week</t>
  </si>
  <si>
    <t>MEASURED - docs/pricing/consumption-model.md</t>
  </si>
  <si>
    <t>Documents arriving - peak</t>
  </si>
  <si>
    <t>ESTIMATED - bid-deadline week, 4x typical</t>
  </si>
  <si>
    <t>Tenders processed at once - typical</t>
  </si>
  <si>
    <t>jobs</t>
  </si>
  <si>
    <t>Four of the five workers idle but warm</t>
  </si>
  <si>
    <t>Tenders processed at once - peak</t>
  </si>
  <si>
    <t>All five workers busy - the design point</t>
  </si>
  <si>
    <t>STORAGE - one set, not one per anything</t>
  </si>
  <si>
    <t>Document store - today</t>
  </si>
  <si>
    <t>YOUR FIGURE - 500 MB of RFQ documents</t>
  </si>
  <si>
    <t>Document store - after a year</t>
  </si>
  <si>
    <t>MEASURED rate - 500 MB/week accumulating</t>
  </si>
  <si>
    <t>System file store - typical</t>
  </si>
  <si>
    <t>ESTIMATED - accounts, workflow, bidder registry</t>
  </si>
  <si>
    <t>System file store - peak</t>
  </si>
  <si>
    <t>Log volume - typical</t>
  </si>
  <si>
    <t>GB/month</t>
  </si>
  <si>
    <t>Log volume - peak</t>
  </si>
  <si>
    <t>Queue messages - typical</t>
  </si>
  <si>
    <t>millions/mo</t>
  </si>
  <si>
    <t>Queue messages - peak</t>
  </si>
  <si>
    <t>AWS PRICES - us-east-1, on-demand list price (hand-copied, goes stale)</t>
  </si>
  <si>
    <t>Fargate - per core-hour</t>
  </si>
  <si>
    <t>$</t>
  </si>
  <si>
    <t>AWS list price</t>
  </si>
  <si>
    <t>Fargate - per GB-hour</t>
  </si>
  <si>
    <t>Load balancer - per hour</t>
  </si>
  <si>
    <t>Load balancer - per capacity unit-hour</t>
  </si>
  <si>
    <t>Load balancer capacity units - typical</t>
  </si>
  <si>
    <t>LCU</t>
  </si>
  <si>
    <t>Load balancer capacity units - peak</t>
  </si>
  <si>
    <t>NAT Gateway - per hour, per zone</t>
  </si>
  <si>
    <t>NAT Gateways (one per zone)</t>
  </si>
  <si>
    <t>count</t>
  </si>
  <si>
    <t>Two zones for resilience</t>
  </si>
  <si>
    <t>NAT Gateway - per GB processed</t>
  </si>
  <si>
    <t>NAT GB/month - typical</t>
  </si>
  <si>
    <t>NAT GB/month - peak</t>
  </si>
  <si>
    <t>EFS Standard - per GB-month</t>
  </si>
  <si>
    <t>S3 Standard - per GB-month</t>
  </si>
  <si>
    <t>Logs - ingest per GB</t>
  </si>
  <si>
    <t>Logs - storage per GB-month</t>
  </si>
  <si>
    <t>VPC interface endpoint - per hour</t>
  </si>
  <si>
    <t>VPC interface endpoints (4 services x 2 zones)</t>
  </si>
  <si>
    <t>ECR api, ECR docker, Logs, Secrets</t>
  </si>
  <si>
    <t>Image registry - per GB-month</t>
  </si>
  <si>
    <t>Image storage held</t>
  </si>
  <si>
    <t>Secret storage - per secret-month</t>
  </si>
  <si>
    <t>Secrets held</t>
  </si>
  <si>
    <t>Model provider key, app secrets</t>
  </si>
  <si>
    <t>DNS hosted zone - per month</t>
  </si>
  <si>
    <t>Queue - per million messages</t>
  </si>
  <si>
    <t>Backup and snapshots - typical</t>
  </si>
  <si>
    <t>$/month</t>
  </si>
  <si>
    <t>Backup and snapshots - peak</t>
  </si>
  <si>
    <t>MODEL API PRICES - list price, verify before quoting</t>
  </si>
  <si>
    <t>Sonnet 5 - input per million tokens</t>
  </si>
  <si>
    <t>LIST PRICE - goes stale</t>
  </si>
  <si>
    <t>Sonnet 5 - output per million tokens</t>
  </si>
  <si>
    <t>Opus 5 - input per million tokens</t>
  </si>
  <si>
    <t>Opus 5 - output per million tokens</t>
  </si>
  <si>
    <t>Share of work sent to Opus</t>
  </si>
  <si>
    <t>fraction</t>
  </si>
  <si>
    <t>0 = all Sonnet. Try 0.5 to see the effect.</t>
  </si>
  <si>
    <t>ESTIMATED - typical; 0.30 on a bad week</t>
  </si>
  <si>
    <t>TOKEN MODEL - measured by replaying a real tender</t>
  </si>
  <si>
    <t>Characters per MB of source document</t>
  </si>
  <si>
    <t>chars</t>
  </si>
  <si>
    <t>MEASURED - 818,229 chars from 44.3 MB</t>
  </si>
  <si>
    <t>Input ratio (prompts plus chunk overhead)</t>
  </si>
  <si>
    <t>MEASURED</t>
  </si>
  <si>
    <t>Characters per input token</t>
  </si>
  <si>
    <t>Output ratio</t>
  </si>
  <si>
    <t>MEASURED - stored compact JSON</t>
  </si>
  <si>
    <t>Output allowance</t>
  </si>
  <si>
    <t>Characters per output token</t>
  </si>
  <si>
    <t>LEVERS</t>
  </si>
  <si>
    <t>Region price multiplier</t>
  </si>
  <si>
    <t>1.00 = us-east-1. UAE is roughly 1.15-1.20</t>
  </si>
  <si>
    <t>Compute Savings Plan discount</t>
  </si>
  <si>
    <t>1-year, no upfront is typically 0.15-0.20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</si>
</sst>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#,##0.0"/>
    <numFmt numFmtId="165" formatCode="\$#,##0.0000"/>
    <numFmt numFmtId="166" formatCode="\$#,##0.000000"/>
    <numFmt numFmtId="167" formatCode="\$#,##0.000"/>
    <numFmt numFmtId="168" formatCode="\$#,##0;\(\$#,##0\);\-"/>
    <numFmt numFmtId="169" formatCode="\$#,##0.00;\(\$#,##0.00\);\-"/>
    <numFmt numFmtId="170" formatCode="#,##0.0000"/>
    <numFmt numFmtId="171" formatCode="#,##0&quot; MB&quot;"/>
    <numFmt numFmtId="172" formatCode="#,##0.0&quot; M&quot;"/>
    <numFmt numFmtId="173" formatCode="0.0&quot;x&quot;"/>
    <numFmt numFmtId="174" formatCode="#,##0.0&quot;x&quot;"/>
  </numFmts>
  <fonts count="16" x14ac:knownFonts="1">
    <font>
      <sz val="11"/>
      <color theme="1"/>
      <name val="Calibri"/>
      <family val="2"/>
      <scheme val="minor"/>
    </font>
    <font>
      <b/>
      <sz val="16"/>
      <color rgb="FF1B3A57"/>
      <name val="Arial"/>
    </font>
    <font>
      <i/>
      <sz val="10"/>
      <color rgb="FF6B7A8C"/>
      <name val="Arial"/>
    </font>
    <font>
      <b/>
      <sz val="10"/>
      <color rgb="FFFFFFFF"/>
      <name val="Arial"/>
    </font>
    <font>
      <b/>
      <sz val="10"/>
      <color rgb="FF1B3A57"/>
      <name val="Arial"/>
    </font>
    <font>
      <sz val="10"/>
      <color rgb="FF1F2933"/>
      <name val="Arial"/>
    </font>
    <font>
      <b/>
      <sz val="10"/>
      <color rgb="FF0000FF"/>
      <name val="Arial"/>
    </font>
    <font>
      <i/>
      <sz val="9"/>
      <color rgb="FF6B7A8C"/>
      <name val="Arial"/>
    </font>
    <font>
      <b/>
      <sz val="10"/>
      <color rgb="FF1F2933"/>
      <name val="Arial"/>
    </font>
    <font>
      <b/>
      <sz val="11"/>
      <color rgb="FF1B3A57"/>
      <name val="Arial"/>
    </font>
    <font>
      <sz val="10"/>
      <color rgb="FF6B7A8C"/>
      <name val="Arial"/>
    </font>
    <font>
      <b/>
      <sz val="12"/>
      <color rgb="FF1F2933"/>
      <name val="Arial"/>
    </font>
    <font>
      <sz val="10"/>
      <color rgb="FF1E6B4F"/>
      <name val="Arial"/>
    </font>
    <font>
      <i/>
      <sz val="10"/>
      <color rgb="FFB03A2E"/>
      <name val="Arial"/>
    </font>
    <font>
      <b/>
      <sz val="12"/>
      <color rgb="FFFFFFFF"/>
      <name val="Arial"/>
    </font>
    <font>
      <b/>
      <sz val="11"/>
      <color rgb="FF0000FF"/>
      <name val="Arial"/>
    </font>
  </fonts>
  <fills count="6">
    <fill>
      <patternFill patternType="none"/>
    </fill>
    <fill>
      <patternFill patternType="gray125"/>
    </fill>
    <fill>
      <patternFill patternType="solid">
        <fgColor rgb="FF1B3A57"/>
      </patternFill>
    </fill>
    <fill>
      <patternFill patternType="solid">
        <fgColor rgb="FFDCE6EE"/>
      </patternFill>
    </fill>
    <fill>
      <patternFill patternType="solid">
        <fgColor rgb="FFFFF3C4"/>
      </patternFill>
    </fill>
    <fill>
      <patternFill patternType="solid">
        <fgColor rgb="FFE8EEF4"/>
      </patternFill>
    </fill>
  </fills>
  <borders count="2">
    <border>
      <left/>
      <right/>
      <top/>
      <bottom/>
      <diagonal/>
    </border>
    <border>
      <left/>
      <right/>
      <top/>
      <bottom style="thin">
        <color rgb="FFC9D2DA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8" fillId="4" borderId="0" xfId="0" applyFont="1" applyFill="1" applyAlignment="1">
      <alignment vertical="center"/>
    </xf>
    <xf numFmtId="3" fontId="9" fillId="4" borderId="0" xfId="0" applyNumberFormat="1" applyFont="1" applyFill="1" applyAlignment="1">
      <alignment horizontal="center"/>
    </xf>
    <xf numFmtId="164" fontId="9" fillId="4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vertical="center"/>
    </xf>
    <xf numFmtId="0" fontId="5" fillId="0" borderId="0" xfId="0" applyFont="1" applyAlignment="1">
      <alignment vertical="center" indent="1"/>
    </xf>
    <xf numFmtId="0" fontId="5" fillId="0" borderId="0" xfId="0" applyFont="1" applyAlignment="1">
      <alignment vertical="center"/>
    </xf>
    <xf numFmtId="3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10" fillId="0" borderId="0" xfId="0" applyFont="1" applyAlignment="1">
      <alignment vertical="center" indent="1"/>
    </xf>
    <xf numFmtId="0" fontId="10" fillId="0" borderId="0" xfId="0" applyFont="1" applyAlignment="1">
      <alignment vertical="center"/>
    </xf>
    <xf numFmtId="3" fontId="10" fillId="0" borderId="0" xfId="0" applyNumberFormat="1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0" fontId="11" fillId="4" borderId="0" xfId="0" applyFont="1" applyFill="1" applyAlignment="1">
      <alignment vertical="center"/>
    </xf>
    <xf numFmtId="168" fontId="11" fillId="4" borderId="0" xfId="0" applyNumberFormat="1" applyFont="1" applyFill="1" applyAlignment="1">
      <alignment vertical="center"/>
    </xf>
    <xf numFmtId="168" fontId="10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168" fontId="4" fillId="3" borderId="0" xfId="0" applyNumberFormat="1" applyFont="1" applyFill="1" applyAlignment="1">
      <alignment vertical="center"/>
    </xf>
    <xf numFmtId="169" fontId="5" fillId="0" borderId="0" xfId="0" applyNumberFormat="1" applyFont="1" applyAlignment="1">
      <alignment vertical="center"/>
    </xf>
    <xf numFmtId="168" fontId="8" fillId="4" borderId="0" xfId="0" applyNumberFormat="1" applyFont="1" applyFill="1" applyAlignment="1">
      <alignment vertical="center"/>
    </xf>
    <xf numFmtId="171" fontId="10" fillId="0" borderId="0" xfId="0" applyNumberFormat="1" applyFont="1" applyAlignment="1">
      <alignment vertical="center"/>
    </xf>
    <xf numFmtId="172" fontId="10" fillId="0" borderId="0" xfId="0" applyNumberFormat="1" applyFont="1" applyAlignment="1">
      <alignment vertical="center"/>
    </xf>
    <xf numFmtId="0" fontId="12" fillId="0" borderId="0" xfId="0" applyFont="1" applyAlignment="1">
      <alignment vertical="center" indent="1"/>
    </xf>
    <xf numFmtId="0" fontId="12" fillId="0" borderId="0" xfId="0" applyFont="1" applyAlignment="1">
      <alignment vertical="center"/>
    </xf>
    <xf numFmtId="169" fontId="12" fillId="0" borderId="0" xfId="0" applyNumberFormat="1" applyFont="1" applyAlignment="1">
      <alignment vertical="center"/>
    </xf>
    <xf numFmtId="0" fontId="13" fillId="0" borderId="0" xfId="0" applyFont="1" applyAlignment="1">
      <alignment vertical="center"/>
    </xf>
    <xf numFmtId="0" fontId="14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8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8" fillId="0" borderId="0" xfId="0" applyFont="1" applyAlignment="1">
      <alignment vertical="center"/>
    </xf>
    <xf numFmtId="3" fontId="5" fillId="0" borderId="1" xfId="0" applyNumberFormat="1" applyFont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6" fontId="5" fillId="0" borderId="1" xfId="0" applyNumberFormat="1" applyFont="1" applyBorder="1" applyAlignment="1">
      <alignment vertical="center"/>
    </xf>
    <xf numFmtId="168" fontId="8" fillId="0" borderId="1" xfId="0" applyNumberFormat="1" applyFont="1" applyBorder="1" applyAlignment="1">
      <alignment vertical="center"/>
    </xf>
    <xf numFmtId="173" fontId="8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168" fontId="10" fillId="0" borderId="1" xfId="0" applyNumberFormat="1" applyFont="1" applyBorder="1" applyAlignment="1">
      <alignment vertical="center"/>
    </xf>
    <xf numFmtId="173" fontId="10" fillId="0" borderId="1" xfId="0" applyNumberFormat="1" applyFont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3" fontId="15" fillId="5" borderId="1" xfId="0" applyNumberFormat="1" applyFont="1" applyFill="1" applyBorder="1" applyAlignment="1">
      <alignment vertical="center"/>
    </xf>
    <xf numFmtId="174" fontId="15" fillId="5" borderId="1" xfId="0" applyNumberFormat="1" applyFont="1" applyFill="1" applyBorder="1" applyAlignment="1">
      <alignment vertical="center"/>
    </xf>
    <xf numFmtId="0" fontId="5" fillId="0" borderId="1" xfId="0" applyFont="1" applyBorder="1" applyAlignment="1">
      <alignment vertical="center" indent="1"/>
    </xf>
    <xf numFmtId="3" fontId="6" fillId="0" borderId="1" xfId="0" applyNumberFormat="1" applyFont="1" applyBorder="1" applyAlignment="1">
      <alignment vertical="center"/>
    </xf>
    <xf numFmtId="0" fontId="7" fillId="0" borderId="1" xfId="0" applyFont="1" applyBorder="1" applyAlignment="1">
      <alignment vertical="center"/>
    </xf>
    <xf numFmtId="4" fontId="6" fillId="0" borderId="1" xfId="0" applyNumberFormat="1" applyFont="1" applyBorder="1" applyAlignment="1">
      <alignment vertical="center"/>
    </xf>
    <xf numFmtId="164" fontId="6" fillId="0" borderId="1" xfId="0" applyNumberFormat="1" applyFont="1" applyBorder="1" applyAlignment="1">
      <alignment vertical="center"/>
    </xf>
    <xf numFmtId="165" fontId="6" fillId="0" borderId="1" xfId="0" applyNumberFormat="1" applyFont="1" applyBorder="1" applyAlignment="1">
      <alignment vertical="center"/>
    </xf>
    <xf numFmtId="166" fontId="6" fillId="0" borderId="1" xfId="0" applyNumberFormat="1" applyFont="1" applyBorder="1" applyAlignment="1">
      <alignment vertical="center"/>
    </xf>
    <xf numFmtId="167" fontId="6" fillId="0" borderId="1" xfId="0" applyNumberFormat="1" applyFont="1" applyBorder="1" applyAlignment="1">
      <alignment vertical="center"/>
    </xf>
    <xf numFmtId="168" fontId="6" fillId="0" borderId="1" xfId="0" applyNumberFormat="1" applyFont="1" applyBorder="1" applyAlignment="1">
      <alignment vertical="center"/>
    </xf>
    <xf numFmtId="169" fontId="6" fillId="0" borderId="1" xfId="0" applyNumberFormat="1" applyFont="1" applyBorder="1" applyAlignment="1">
      <alignment vertical="center"/>
    </xf>
    <xf numFmtId="9" fontId="6" fillId="0" borderId="1" xfId="0" applyNumberFormat="1" applyFont="1" applyBorder="1" applyAlignment="1">
      <alignment vertical="center"/>
    </xf>
    <xf numFmtId="170" fontId="6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2"/>
  <sheetViews>
    <sheetView showGridLines="0" tabSelected="1" workbookViewId="0">
      <pane ySplit="8" topLeftCell="A9" activePane="bottomLeft" state="frozen"/>
      <selection pane="bottomLeft"/>
    </sheetView>
  </sheetViews>
  <sheetFormatPr defaultRowHeight="14.4" x14ac:dyDescent="0.3"/>
  <cols>
    <col min="1" max="1" width="28" customWidth="1"/>
    <col min="2" max="2" width="62" customWidth="1"/>
    <col min="3" max="3" width="22" customWidth="1"/>
    <col min="4" max="8" width="8" customWidth="1"/>
    <col min="9" max="9" width="26" customWidth="1"/>
    <col min="10" max="10" width="14" customWidth="1"/>
    <col min="11" max="11" width="84" customWidth="1"/>
  </cols>
  <sheetData>
    <row r="1" spans="1:11" ht="24" customHeight="1" x14ac:dyDescent="0.3">
      <c r="A1" s="1" t="s">
        <v>0</v>
      </c>
    </row>
    <row r="2" spans="1:11" x14ac:dyDescent="0.3">
      <c r="A2" s="2" t="s">
        <v>1</v>
      </c>
    </row>
    <row r="3" spans="1:11" ht="6" customHeight="1" x14ac:dyDescent="0.3"/>
    <row r="4" spans="1:11" ht="19.95" customHeight="1" x14ac:dyDescent="0.3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x14ac:dyDescent="0.3">
      <c r="A5" s="4" t="s">
        <v>3</v>
      </c>
      <c r="B5" s="4"/>
      <c r="C5" s="4"/>
      <c r="D5" s="5">
        <f>Assumptions!$B$13+Assumptions!$B$19</f>
        <v>7</v>
      </c>
      <c r="E5" s="4"/>
      <c r="F5" s="4"/>
      <c r="G5" s="6">
        <f>Assumptions!$B$13*Assumptions!$B$14+Assumptions!$B$19*Assumptions!$B$21</f>
        <v>6</v>
      </c>
      <c r="H5" s="6">
        <f>Assumptions!$B$13*Assumptions!$B$15+Assumptions!$B$19*Assumptions!$B$22</f>
        <v>22</v>
      </c>
      <c r="I5" s="4"/>
      <c r="J5" s="4"/>
      <c r="K5" s="4" t="s">
        <v>4</v>
      </c>
    </row>
    <row r="6" spans="1:11" x14ac:dyDescent="0.3">
      <c r="A6" s="4" t="s">
        <v>5</v>
      </c>
      <c r="B6" s="4"/>
      <c r="C6" s="4"/>
      <c r="D6" s="5">
        <f>Assumptions!$B$13+Assumptions!$B$20</f>
        <v>9</v>
      </c>
      <c r="E6" s="4"/>
      <c r="F6" s="4"/>
      <c r="G6" s="6">
        <f>Assumptions!$B$13*Assumptions!$B$14+Assumptions!$B$20*Assumptions!$B$23</f>
        <v>9</v>
      </c>
      <c r="H6" s="6">
        <f>Assumptions!$B$13*Assumptions!$B$15+Assumptions!$B$20*Assumptions!$B$24</f>
        <v>28</v>
      </c>
      <c r="I6" s="4"/>
      <c r="J6" s="4"/>
      <c r="K6" s="4" t="s">
        <v>6</v>
      </c>
    </row>
    <row r="7" spans="1:11" ht="6" customHeight="1" x14ac:dyDescent="0.3"/>
    <row r="8" spans="1:11" ht="31.95" customHeight="1" x14ac:dyDescent="0.3">
      <c r="A8" s="3" t="s">
        <v>7</v>
      </c>
      <c r="B8" s="3" t="s">
        <v>8</v>
      </c>
      <c r="C8" s="3" t="s">
        <v>9</v>
      </c>
      <c r="D8" s="7" t="s">
        <v>10</v>
      </c>
      <c r="E8" s="7" t="s">
        <v>11</v>
      </c>
      <c r="F8" s="7" t="s">
        <v>12</v>
      </c>
      <c r="G8" s="7" t="s">
        <v>13</v>
      </c>
      <c r="H8" s="7" t="s">
        <v>14</v>
      </c>
      <c r="I8" s="7" t="s">
        <v>15</v>
      </c>
      <c r="J8" s="7" t="s">
        <v>16</v>
      </c>
      <c r="K8" s="3" t="s">
        <v>17</v>
      </c>
    </row>
    <row r="9" spans="1:11" ht="19.95" customHeight="1" x14ac:dyDescent="0.3">
      <c r="A9" s="8" t="s">
        <v>18</v>
      </c>
      <c r="B9" s="8"/>
      <c r="C9" s="8"/>
      <c r="D9" s="8"/>
      <c r="E9" s="8"/>
      <c r="F9" s="8"/>
      <c r="G9" s="8"/>
      <c r="H9" s="8"/>
      <c r="I9" s="8"/>
      <c r="J9" s="8"/>
      <c r="K9" s="8" t="s">
        <v>19</v>
      </c>
    </row>
    <row r="10" spans="1:11" x14ac:dyDescent="0.3">
      <c r="A10" s="9" t="s">
        <v>20</v>
      </c>
      <c r="B10" s="10" t="s">
        <v>21</v>
      </c>
      <c r="C10" s="10" t="s">
        <v>22</v>
      </c>
      <c r="D10" s="11">
        <f>Assumptions!$B$13</f>
        <v>5</v>
      </c>
      <c r="E10" s="12">
        <f>Assumptions!$B$14</f>
        <v>1</v>
      </c>
      <c r="F10" s="12">
        <f>Assumptions!$B$15</f>
        <v>4</v>
      </c>
      <c r="G10" s="12">
        <f>Assumptions!$B$13*Assumptions!$B$14</f>
        <v>5</v>
      </c>
      <c r="H10" s="12">
        <f>Assumptions!$B$13*Assumptions!$B$15</f>
        <v>20</v>
      </c>
      <c r="I10" s="10" t="s">
        <v>23</v>
      </c>
      <c r="J10" s="10" t="s">
        <v>24</v>
      </c>
      <c r="K10" s="10" t="s">
        <v>25</v>
      </c>
    </row>
    <row r="11" spans="1:11" x14ac:dyDescent="0.3">
      <c r="A11" s="13" t="s">
        <v>26</v>
      </c>
      <c r="B11" s="14" t="s">
        <v>27</v>
      </c>
      <c r="C11" s="14" t="s">
        <v>22</v>
      </c>
      <c r="D11" s="15">
        <f>Assumptions!$B$16</f>
        <v>0</v>
      </c>
      <c r="E11" s="16">
        <f>Assumptions!$B$14</f>
        <v>1</v>
      </c>
      <c r="F11" s="16">
        <f>Assumptions!$B$15</f>
        <v>4</v>
      </c>
      <c r="G11" s="14"/>
      <c r="H11" s="14"/>
      <c r="I11" s="14" t="s">
        <v>23</v>
      </c>
      <c r="J11" s="14" t="s">
        <v>28</v>
      </c>
      <c r="K11" s="14" t="s">
        <v>29</v>
      </c>
    </row>
    <row r="12" spans="1:11" ht="6" customHeight="1" x14ac:dyDescent="0.3"/>
    <row r="13" spans="1:11" ht="19.95" customHeight="1" x14ac:dyDescent="0.3">
      <c r="A13" s="8" t="s">
        <v>30</v>
      </c>
      <c r="B13" s="8"/>
      <c r="C13" s="8"/>
      <c r="D13" s="8"/>
      <c r="E13" s="8"/>
      <c r="F13" s="8"/>
      <c r="G13" s="8"/>
      <c r="H13" s="8"/>
      <c r="I13" s="8"/>
      <c r="J13" s="8"/>
      <c r="K13" s="8" t="s">
        <v>31</v>
      </c>
    </row>
    <row r="14" spans="1:11" x14ac:dyDescent="0.3">
      <c r="A14" s="9" t="s">
        <v>32</v>
      </c>
      <c r="B14" s="10" t="s">
        <v>33</v>
      </c>
      <c r="C14" s="10" t="s">
        <v>22</v>
      </c>
      <c r="D14" s="11">
        <f>Assumptions!$B$19</f>
        <v>2</v>
      </c>
      <c r="E14" s="12">
        <f>Assumptions!$B$21</f>
        <v>0.5</v>
      </c>
      <c r="F14" s="12">
        <f>Assumptions!$B$22</f>
        <v>1</v>
      </c>
      <c r="G14" s="12">
        <f>Assumptions!$B$19*Assumptions!$B$21</f>
        <v>1</v>
      </c>
      <c r="H14" s="12">
        <f>Assumptions!$B$19*Assumptions!$B$22</f>
        <v>2</v>
      </c>
      <c r="I14" s="10" t="s">
        <v>23</v>
      </c>
      <c r="J14" s="10" t="s">
        <v>34</v>
      </c>
      <c r="K14" s="10" t="s">
        <v>35</v>
      </c>
    </row>
    <row r="15" spans="1:11" ht="6" customHeight="1" x14ac:dyDescent="0.3"/>
    <row r="16" spans="1:11" ht="19.95" customHeight="1" x14ac:dyDescent="0.3">
      <c r="A16" s="8" t="s">
        <v>36</v>
      </c>
      <c r="B16" s="8"/>
      <c r="C16" s="8"/>
      <c r="D16" s="8"/>
      <c r="E16" s="8"/>
      <c r="F16" s="8"/>
      <c r="G16" s="8"/>
      <c r="H16" s="8"/>
      <c r="I16" s="8"/>
      <c r="J16" s="8"/>
      <c r="K16" s="8" t="s">
        <v>37</v>
      </c>
    </row>
    <row r="17" spans="1:11" x14ac:dyDescent="0.3">
      <c r="A17" s="9" t="s">
        <v>38</v>
      </c>
      <c r="B17" s="10" t="s">
        <v>39</v>
      </c>
      <c r="C17" s="10" t="s">
        <v>40</v>
      </c>
      <c r="D17" s="11">
        <v>1</v>
      </c>
      <c r="E17" s="10"/>
      <c r="F17" s="10"/>
      <c r="G17" s="10"/>
      <c r="H17" s="10"/>
      <c r="I17" s="10" t="str">
        <f>Assumptions!$B$35&amp;" GB typical / "&amp;Assumptions!$B$36&amp;" GB peak"</f>
        <v>50 GB typical / 200 GB peak</v>
      </c>
      <c r="J17" s="10" t="s">
        <v>41</v>
      </c>
      <c r="K17" s="10" t="s">
        <v>42</v>
      </c>
    </row>
    <row r="18" spans="1:11" x14ac:dyDescent="0.3">
      <c r="A18" s="9" t="s">
        <v>43</v>
      </c>
      <c r="B18" s="10" t="s">
        <v>44</v>
      </c>
      <c r="C18" s="10" t="s">
        <v>45</v>
      </c>
      <c r="D18" s="11">
        <v>1</v>
      </c>
      <c r="E18" s="10"/>
      <c r="F18" s="10"/>
      <c r="G18" s="10"/>
      <c r="H18" s="10"/>
      <c r="I18" s="10" t="str">
        <f>Assumptions!$B$33&amp;" GB today / "&amp;Assumptions!$B$34&amp;" GB after a year"</f>
        <v>0.5 GB today / 26 GB after a year</v>
      </c>
      <c r="J18" s="10" t="s">
        <v>46</v>
      </c>
      <c r="K18" s="10" t="s">
        <v>47</v>
      </c>
    </row>
    <row r="19" spans="1:11" x14ac:dyDescent="0.3">
      <c r="A19" s="9" t="s">
        <v>48</v>
      </c>
      <c r="B19" s="10" t="s">
        <v>49</v>
      </c>
      <c r="C19" s="10" t="s">
        <v>50</v>
      </c>
      <c r="D19" s="11">
        <v>1</v>
      </c>
      <c r="E19" s="10"/>
      <c r="F19" s="10"/>
      <c r="G19" s="10"/>
      <c r="H19" s="10"/>
      <c r="I19" s="10" t="str">
        <f>Assumptions!$B$39&amp;" million messages/month"</f>
        <v>0.5 million messages/month</v>
      </c>
      <c r="J19" s="10" t="s">
        <v>28</v>
      </c>
      <c r="K19" s="10" t="s">
        <v>51</v>
      </c>
    </row>
    <row r="20" spans="1:11" x14ac:dyDescent="0.3">
      <c r="A20" s="9" t="s">
        <v>52</v>
      </c>
      <c r="B20" s="10" t="s">
        <v>53</v>
      </c>
      <c r="C20" s="10" t="s">
        <v>54</v>
      </c>
      <c r="D20" s="11">
        <v>1</v>
      </c>
      <c r="E20" s="10"/>
      <c r="F20" s="10"/>
      <c r="G20" s="10"/>
      <c r="H20" s="10"/>
      <c r="I20" s="10" t="str">
        <f>Assumptions!$B$37&amp;" GB/month"</f>
        <v>10 GB/month</v>
      </c>
      <c r="J20" s="10" t="s">
        <v>34</v>
      </c>
      <c r="K20" s="10" t="s">
        <v>55</v>
      </c>
    </row>
    <row r="21" spans="1:11" ht="6" customHeight="1" x14ac:dyDescent="0.3"/>
    <row r="22" spans="1:11" ht="19.95" customHeight="1" x14ac:dyDescent="0.3">
      <c r="A22" s="8" t="s">
        <v>56</v>
      </c>
      <c r="B22" s="8"/>
      <c r="C22" s="8"/>
      <c r="D22" s="8"/>
      <c r="E22" s="8"/>
      <c r="F22" s="8"/>
      <c r="G22" s="8"/>
      <c r="H22" s="8"/>
      <c r="I22" s="8"/>
      <c r="J22" s="8"/>
      <c r="K22" s="8" t="s">
        <v>57</v>
      </c>
    </row>
    <row r="23" spans="1:11" x14ac:dyDescent="0.3">
      <c r="A23" s="9" t="s">
        <v>58</v>
      </c>
      <c r="B23" s="10" t="s">
        <v>59</v>
      </c>
      <c r="C23" s="10" t="s">
        <v>60</v>
      </c>
      <c r="D23" s="11">
        <v>1</v>
      </c>
      <c r="E23" s="10"/>
      <c r="F23" s="10"/>
      <c r="G23" s="10"/>
      <c r="H23" s="10"/>
      <c r="I23" s="10" t="s">
        <v>23</v>
      </c>
      <c r="J23" s="10" t="s">
        <v>34</v>
      </c>
      <c r="K23" s="10" t="s">
        <v>61</v>
      </c>
    </row>
    <row r="24" spans="1:11" x14ac:dyDescent="0.3">
      <c r="A24" s="9" t="s">
        <v>62</v>
      </c>
      <c r="B24" s="10" t="s">
        <v>63</v>
      </c>
      <c r="C24" s="10" t="s">
        <v>64</v>
      </c>
      <c r="D24" s="11">
        <v>1</v>
      </c>
      <c r="E24" s="10"/>
      <c r="F24" s="10"/>
      <c r="G24" s="10"/>
      <c r="H24" s="10"/>
      <c r="I24" s="10" t="s">
        <v>23</v>
      </c>
      <c r="J24" s="10" t="s">
        <v>34</v>
      </c>
      <c r="K24" s="10" t="s">
        <v>65</v>
      </c>
    </row>
    <row r="25" spans="1:11" x14ac:dyDescent="0.3">
      <c r="A25" s="9" t="s">
        <v>66</v>
      </c>
      <c r="B25" s="10" t="s">
        <v>67</v>
      </c>
      <c r="C25" s="10" t="s">
        <v>68</v>
      </c>
      <c r="D25" s="11">
        <v>1</v>
      </c>
      <c r="E25" s="10"/>
      <c r="F25" s="10"/>
      <c r="G25" s="10"/>
      <c r="H25" s="10"/>
      <c r="I25" s="10" t="s">
        <v>23</v>
      </c>
      <c r="J25" s="10" t="s">
        <v>34</v>
      </c>
      <c r="K25" s="10"/>
    </row>
    <row r="26" spans="1:11" x14ac:dyDescent="0.3">
      <c r="A26" s="9" t="s">
        <v>69</v>
      </c>
      <c r="B26" s="10" t="s">
        <v>70</v>
      </c>
      <c r="C26" s="10" t="s">
        <v>71</v>
      </c>
      <c r="D26" s="11">
        <v>1</v>
      </c>
      <c r="E26" s="10"/>
      <c r="F26" s="10"/>
      <c r="G26" s="10"/>
      <c r="H26" s="10"/>
      <c r="I26" s="10" t="s">
        <v>23</v>
      </c>
      <c r="J26" s="10" t="s">
        <v>34</v>
      </c>
      <c r="K26" s="10" t="s">
        <v>72</v>
      </c>
    </row>
    <row r="27" spans="1:11" x14ac:dyDescent="0.3">
      <c r="A27" s="9" t="s">
        <v>73</v>
      </c>
      <c r="B27" s="10" t="s">
        <v>74</v>
      </c>
      <c r="C27" s="10" t="s">
        <v>75</v>
      </c>
      <c r="D27" s="11">
        <v>1</v>
      </c>
      <c r="E27" s="10"/>
      <c r="F27" s="10"/>
      <c r="G27" s="10"/>
      <c r="H27" s="10"/>
      <c r="I27" s="10" t="s">
        <v>23</v>
      </c>
      <c r="J27" s="10" t="s">
        <v>34</v>
      </c>
      <c r="K27" s="10" t="s">
        <v>76</v>
      </c>
    </row>
    <row r="28" spans="1:11" x14ac:dyDescent="0.3">
      <c r="A28" s="9" t="s">
        <v>77</v>
      </c>
      <c r="B28" s="10" t="s">
        <v>78</v>
      </c>
      <c r="C28" s="10" t="s">
        <v>79</v>
      </c>
      <c r="D28" s="11">
        <v>1</v>
      </c>
      <c r="E28" s="10"/>
      <c r="F28" s="10"/>
      <c r="G28" s="10"/>
      <c r="H28" s="10"/>
      <c r="I28" s="10" t="s">
        <v>23</v>
      </c>
      <c r="J28" s="10" t="s">
        <v>34</v>
      </c>
      <c r="K28" s="10" t="s">
        <v>80</v>
      </c>
    </row>
    <row r="29" spans="1:11" x14ac:dyDescent="0.3">
      <c r="A29" s="9" t="s">
        <v>81</v>
      </c>
      <c r="B29" s="10" t="s">
        <v>82</v>
      </c>
      <c r="C29" s="10" t="s">
        <v>83</v>
      </c>
      <c r="D29" s="11">
        <f>Assumptions!$B$50</f>
        <v>2</v>
      </c>
      <c r="E29" s="10"/>
      <c r="F29" s="10"/>
      <c r="G29" s="10"/>
      <c r="H29" s="10"/>
      <c r="I29" s="10" t="s">
        <v>23</v>
      </c>
      <c r="J29" s="10" t="s">
        <v>34</v>
      </c>
      <c r="K29" s="10" t="s">
        <v>84</v>
      </c>
    </row>
    <row r="30" spans="1:11" x14ac:dyDescent="0.3">
      <c r="A30" s="9" t="s">
        <v>85</v>
      </c>
      <c r="B30" s="10" t="s">
        <v>86</v>
      </c>
      <c r="C30" s="10" t="s">
        <v>87</v>
      </c>
      <c r="D30" s="11">
        <f>Assumptions!$B$59</f>
        <v>8</v>
      </c>
      <c r="E30" s="10"/>
      <c r="F30" s="10"/>
      <c r="G30" s="10"/>
      <c r="H30" s="10"/>
      <c r="I30" s="10" t="s">
        <v>23</v>
      </c>
      <c r="J30" s="10" t="s">
        <v>34</v>
      </c>
      <c r="K30" s="10" t="s">
        <v>88</v>
      </c>
    </row>
    <row r="31" spans="1:11" x14ac:dyDescent="0.3">
      <c r="A31" s="9" t="s">
        <v>89</v>
      </c>
      <c r="B31" s="10" t="s">
        <v>90</v>
      </c>
      <c r="C31" s="10" t="s">
        <v>91</v>
      </c>
      <c r="D31" s="11">
        <f>Assumptions!$B$63</f>
        <v>3</v>
      </c>
      <c r="E31" s="10"/>
      <c r="F31" s="10"/>
      <c r="G31" s="10"/>
      <c r="H31" s="10"/>
      <c r="I31" s="10" t="s">
        <v>23</v>
      </c>
      <c r="J31" s="10" t="s">
        <v>34</v>
      </c>
      <c r="K31" s="10" t="s">
        <v>92</v>
      </c>
    </row>
    <row r="32" spans="1:11" x14ac:dyDescent="0.3">
      <c r="A32" s="9" t="s">
        <v>93</v>
      </c>
      <c r="B32" s="10" t="s">
        <v>94</v>
      </c>
      <c r="C32" s="10" t="s">
        <v>95</v>
      </c>
      <c r="D32" s="11">
        <v>1</v>
      </c>
      <c r="E32" s="10"/>
      <c r="F32" s="10"/>
      <c r="G32" s="10"/>
      <c r="H32" s="10"/>
      <c r="I32" s="10" t="s">
        <v>23</v>
      </c>
      <c r="J32" s="10" t="s">
        <v>34</v>
      </c>
      <c r="K32" s="10" t="s">
        <v>96</v>
      </c>
    </row>
    <row r="33" spans="1:11" x14ac:dyDescent="0.3">
      <c r="A33" s="9" t="s">
        <v>97</v>
      </c>
      <c r="B33" s="10" t="s">
        <v>98</v>
      </c>
      <c r="C33" s="10" t="s">
        <v>99</v>
      </c>
      <c r="D33" s="11">
        <v>1</v>
      </c>
      <c r="E33" s="10"/>
      <c r="F33" s="10"/>
      <c r="G33" s="10"/>
      <c r="H33" s="10"/>
      <c r="I33" s="10" t="s">
        <v>23</v>
      </c>
      <c r="J33" s="10" t="s">
        <v>34</v>
      </c>
      <c r="K33" s="10" t="s">
        <v>100</v>
      </c>
    </row>
    <row r="34" spans="1:11" ht="6" customHeight="1" x14ac:dyDescent="0.3"/>
    <row r="35" spans="1:11" ht="19.95" customHeight="1" x14ac:dyDescent="0.3">
      <c r="A35" s="8" t="s">
        <v>101</v>
      </c>
      <c r="B35" s="8"/>
      <c r="C35" s="8"/>
      <c r="D35" s="8"/>
      <c r="E35" s="8"/>
      <c r="F35" s="8"/>
      <c r="G35" s="8"/>
      <c r="H35" s="8"/>
      <c r="I35" s="8"/>
      <c r="J35" s="8"/>
      <c r="K35" s="8" t="s">
        <v>102</v>
      </c>
    </row>
    <row r="36" spans="1:11" x14ac:dyDescent="0.3">
      <c r="A36" s="9" t="s">
        <v>103</v>
      </c>
      <c r="B36" s="10" t="s">
        <v>104</v>
      </c>
      <c r="C36" s="10" t="s">
        <v>105</v>
      </c>
      <c r="D36" s="10"/>
      <c r="E36" s="10"/>
      <c r="F36" s="10"/>
      <c r="G36" s="10"/>
      <c r="H36" s="10"/>
      <c r="I36" s="10"/>
      <c r="J36" s="10"/>
      <c r="K36" s="10" t="s">
        <v>106</v>
      </c>
    </row>
    <row r="37" spans="1:11" x14ac:dyDescent="0.3">
      <c r="A37" s="9" t="s">
        <v>107</v>
      </c>
      <c r="B37" s="10" t="s">
        <v>108</v>
      </c>
      <c r="C37" s="10" t="s">
        <v>105</v>
      </c>
      <c r="D37" s="10"/>
      <c r="E37" s="10"/>
      <c r="F37" s="10"/>
      <c r="G37" s="10"/>
      <c r="H37" s="10"/>
      <c r="I37" s="10"/>
      <c r="J37" s="10"/>
      <c r="K37" s="10" t="s">
        <v>109</v>
      </c>
    </row>
    <row r="38" spans="1:11" x14ac:dyDescent="0.3">
      <c r="A38" s="9" t="s">
        <v>110</v>
      </c>
      <c r="B38" s="10" t="s">
        <v>111</v>
      </c>
      <c r="C38" s="10" t="s">
        <v>105</v>
      </c>
      <c r="D38" s="10"/>
      <c r="E38" s="10"/>
      <c r="F38" s="10"/>
      <c r="G38" s="10"/>
      <c r="H38" s="10"/>
      <c r="I38" s="10"/>
      <c r="J38" s="10"/>
      <c r="K38" s="10" t="s">
        <v>112</v>
      </c>
    </row>
    <row r="39" spans="1:11" x14ac:dyDescent="0.3">
      <c r="A39" s="9" t="s">
        <v>113</v>
      </c>
      <c r="B39" s="10" t="s">
        <v>114</v>
      </c>
      <c r="C39" s="10" t="s">
        <v>115</v>
      </c>
      <c r="D39" s="10"/>
      <c r="E39" s="10"/>
      <c r="F39" s="10"/>
      <c r="G39" s="10"/>
      <c r="H39" s="10"/>
      <c r="I39" s="10"/>
      <c r="J39" s="10"/>
      <c r="K39" s="10" t="s">
        <v>116</v>
      </c>
    </row>
    <row r="40" spans="1:11" x14ac:dyDescent="0.3">
      <c r="A40" s="9" t="s">
        <v>117</v>
      </c>
      <c r="B40" s="10" t="s">
        <v>118</v>
      </c>
      <c r="C40" s="10" t="s">
        <v>119</v>
      </c>
      <c r="D40" s="10"/>
      <c r="E40" s="10"/>
      <c r="F40" s="10"/>
      <c r="G40" s="10"/>
      <c r="H40" s="10"/>
      <c r="I40" s="10"/>
      <c r="J40" s="10"/>
      <c r="K40" s="10" t="s">
        <v>120</v>
      </c>
    </row>
    <row r="41" spans="1:11" ht="6" customHeight="1" x14ac:dyDescent="0.3"/>
    <row r="42" spans="1:11" ht="19.95" customHeight="1" x14ac:dyDescent="0.3">
      <c r="A42" s="8" t="s">
        <v>121</v>
      </c>
      <c r="B42" s="8"/>
      <c r="C42" s="8"/>
      <c r="D42" s="8"/>
      <c r="E42" s="8"/>
      <c r="F42" s="8"/>
      <c r="G42" s="8"/>
      <c r="H42" s="8"/>
      <c r="I42" s="8"/>
      <c r="J42" s="8"/>
      <c r="K42" s="8" t="s">
        <v>122</v>
      </c>
    </row>
    <row r="43" spans="1:11" x14ac:dyDescent="0.3">
      <c r="A43" s="9" t="s">
        <v>123</v>
      </c>
      <c r="B43" s="10" t="s">
        <v>124</v>
      </c>
      <c r="C43" s="10"/>
      <c r="D43" s="10"/>
      <c r="E43" s="10"/>
      <c r="F43" s="10"/>
      <c r="G43" s="10"/>
      <c r="H43" s="10"/>
      <c r="I43" s="10"/>
      <c r="J43" s="10"/>
      <c r="K43" s="10"/>
    </row>
    <row r="44" spans="1:11" x14ac:dyDescent="0.3">
      <c r="A44" s="9" t="s">
        <v>125</v>
      </c>
      <c r="B44" s="10" t="s">
        <v>126</v>
      </c>
      <c r="C44" s="10"/>
      <c r="D44" s="10"/>
      <c r="E44" s="10"/>
      <c r="F44" s="10"/>
      <c r="G44" s="10"/>
      <c r="H44" s="10"/>
      <c r="I44" s="10"/>
      <c r="J44" s="10"/>
      <c r="K44" s="10"/>
    </row>
    <row r="45" spans="1:11" x14ac:dyDescent="0.3">
      <c r="A45" s="9" t="s">
        <v>127</v>
      </c>
      <c r="B45" s="10" t="s">
        <v>128</v>
      </c>
      <c r="C45" s="10"/>
      <c r="D45" s="10"/>
      <c r="E45" s="10"/>
      <c r="F45" s="10"/>
      <c r="G45" s="10"/>
      <c r="H45" s="10"/>
      <c r="I45" s="10"/>
      <c r="J45" s="10"/>
      <c r="K45" s="10"/>
    </row>
    <row r="46" spans="1:11" x14ac:dyDescent="0.3">
      <c r="A46" s="9" t="s">
        <v>129</v>
      </c>
      <c r="B46" s="10" t="s">
        <v>130</v>
      </c>
      <c r="C46" s="10"/>
      <c r="D46" s="10"/>
      <c r="E46" s="10"/>
      <c r="F46" s="10"/>
      <c r="G46" s="10"/>
      <c r="H46" s="10"/>
      <c r="I46" s="10"/>
      <c r="J46" s="10"/>
      <c r="K46" s="10"/>
    </row>
    <row r="47" spans="1:11" x14ac:dyDescent="0.3">
      <c r="A47" s="9" t="s">
        <v>131</v>
      </c>
      <c r="B47" s="10" t="s">
        <v>132</v>
      </c>
      <c r="C47" s="10"/>
      <c r="D47" s="10"/>
      <c r="E47" s="10"/>
      <c r="F47" s="10"/>
      <c r="G47" s="10"/>
      <c r="H47" s="10"/>
      <c r="I47" s="10"/>
      <c r="J47" s="10"/>
      <c r="K47" s="10"/>
    </row>
    <row r="48" spans="1:11" x14ac:dyDescent="0.3">
      <c r="A48" s="9" t="s">
        <v>133</v>
      </c>
      <c r="B48" s="10" t="s">
        <v>134</v>
      </c>
      <c r="C48" s="10"/>
      <c r="D48" s="10"/>
      <c r="E48" s="10"/>
      <c r="F48" s="10"/>
      <c r="G48" s="10"/>
      <c r="H48" s="10"/>
      <c r="I48" s="10"/>
      <c r="J48" s="10"/>
      <c r="K48" s="10"/>
    </row>
    <row r="49" spans="1:11" x14ac:dyDescent="0.3">
      <c r="A49" s="9" t="s">
        <v>135</v>
      </c>
      <c r="B49" s="10" t="s">
        <v>136</v>
      </c>
      <c r="C49" s="10"/>
      <c r="D49" s="10"/>
      <c r="E49" s="10"/>
      <c r="F49" s="10"/>
      <c r="G49" s="10"/>
      <c r="H49" s="10"/>
      <c r="I49" s="10"/>
      <c r="J49" s="10"/>
      <c r="K49" s="10"/>
    </row>
    <row r="50" spans="1:11" ht="6" customHeight="1" x14ac:dyDescent="0.3"/>
    <row r="51" spans="1:11" x14ac:dyDescent="0.3">
      <c r="A51" s="2" t="s">
        <v>137</v>
      </c>
    </row>
    <row r="52" spans="1:11" x14ac:dyDescent="0.3">
      <c r="A52" s="2" t="s">
        <v>138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0"/>
  <sheetViews>
    <sheetView showGridLines="0" workbookViewId="0">
      <pane ySplit="11" topLeftCell="A12" activePane="bottomLeft" state="frozen"/>
      <selection pane="bottomLeft"/>
    </sheetView>
  </sheetViews>
  <sheetFormatPr defaultRowHeight="14.4" x14ac:dyDescent="0.3"/>
  <cols>
    <col min="1" max="1" width="42" customWidth="1"/>
    <col min="2" max="2" width="54" customWidth="1"/>
    <col min="3" max="4" width="16" customWidth="1"/>
    <col min="5" max="5" width="84" customWidth="1"/>
  </cols>
  <sheetData>
    <row r="1" spans="1:5" ht="24" customHeight="1" x14ac:dyDescent="0.3">
      <c r="A1" s="1" t="s">
        <v>139</v>
      </c>
    </row>
    <row r="2" spans="1:5" x14ac:dyDescent="0.3">
      <c r="A2" s="2" t="s">
        <v>140</v>
      </c>
    </row>
    <row r="3" spans="1:5" x14ac:dyDescent="0.3">
      <c r="A3" s="2" t="s">
        <v>141</v>
      </c>
    </row>
    <row r="4" spans="1:5" ht="6" customHeight="1" x14ac:dyDescent="0.3"/>
    <row r="5" spans="1:5" ht="30" customHeight="1" x14ac:dyDescent="0.3">
      <c r="A5" s="3"/>
      <c r="B5" s="3"/>
      <c r="C5" s="7" t="s">
        <v>142</v>
      </c>
      <c r="D5" s="7" t="s">
        <v>143</v>
      </c>
      <c r="E5" s="3"/>
    </row>
    <row r="6" spans="1:5" ht="19.95" customHeight="1" x14ac:dyDescent="0.3">
      <c r="A6" s="17" t="s">
        <v>144</v>
      </c>
      <c r="B6" s="17"/>
      <c r="C6" s="18">
        <f>C49</f>
        <v>615.21916677684487</v>
      </c>
      <c r="D6" s="18">
        <f>D49</f>
        <v>1384.8066671073793</v>
      </c>
      <c r="E6" s="17"/>
    </row>
    <row r="7" spans="1:5" ht="19.95" customHeight="1" x14ac:dyDescent="0.3">
      <c r="A7" s="17" t="s">
        <v>145</v>
      </c>
      <c r="B7" s="17"/>
      <c r="C7" s="18">
        <f>C49*12</f>
        <v>7382.6300013221389</v>
      </c>
      <c r="D7" s="18">
        <f>D49*12</f>
        <v>16617.680005288552</v>
      </c>
      <c r="E7" s="17"/>
    </row>
    <row r="8" spans="1:5" x14ac:dyDescent="0.3">
      <c r="A8" s="14" t="s">
        <v>146</v>
      </c>
      <c r="B8" s="14"/>
      <c r="C8" s="19">
        <f>C40</f>
        <v>453.37559999999996</v>
      </c>
      <c r="D8" s="19">
        <f>D40</f>
        <v>737.43239999999992</v>
      </c>
      <c r="E8" s="20" t="str">
        <f>"Rented by the hour - "&amp;TEXT(C40/C49,"0%")&amp;" of a typical month"</f>
        <v>Rented by the hour - 74% of a typical month</v>
      </c>
    </row>
    <row r="9" spans="1:5" x14ac:dyDescent="0.3">
      <c r="A9" s="14" t="s">
        <v>147</v>
      </c>
      <c r="B9" s="14"/>
      <c r="C9" s="19">
        <f>C42</f>
        <v>161.84356677684488</v>
      </c>
      <c r="D9" s="19">
        <f>D42</f>
        <v>647.37426710737952</v>
      </c>
      <c r="E9" s="20" t="str">
        <f>"Charged per document - "&amp;TEXT(C42/C49,"0%")&amp;" of a typical month"</f>
        <v>Charged per document - 26% of a typical month</v>
      </c>
    </row>
    <row r="10" spans="1:5" ht="6" customHeight="1" x14ac:dyDescent="0.3"/>
    <row r="11" spans="1:5" ht="30" customHeight="1" x14ac:dyDescent="0.3">
      <c r="A11" s="3" t="s">
        <v>148</v>
      </c>
      <c r="B11" s="3" t="s">
        <v>149</v>
      </c>
      <c r="C11" s="7" t="s">
        <v>150</v>
      </c>
      <c r="D11" s="7" t="s">
        <v>151</v>
      </c>
      <c r="E11" s="3" t="s">
        <v>17</v>
      </c>
    </row>
    <row r="12" spans="1:5" ht="19.95" customHeight="1" x14ac:dyDescent="0.3">
      <c r="A12" s="8" t="s">
        <v>152</v>
      </c>
      <c r="B12" s="8"/>
      <c r="C12" s="21">
        <f>C13+C14</f>
        <v>212.649</v>
      </c>
      <c r="D12" s="21">
        <f>D13+D14</f>
        <v>212.649</v>
      </c>
      <c r="E12" s="8" t="s">
        <v>153</v>
      </c>
    </row>
    <row r="13" spans="1:5" x14ac:dyDescent="0.3">
      <c r="A13" s="9" t="s">
        <v>154</v>
      </c>
      <c r="B13" s="10" t="str">
        <f>Assumptions!$B$13&amp;" containers x "&amp;Assumptions!$B$14&amp;" core / "&amp;Assumptions!$B$15&amp;" GB x "&amp;Assumptions!$B$6&amp;" hours"</f>
        <v>5 containers x 1 core / 4 GB x 730 hours</v>
      </c>
      <c r="C13" s="22">
        <f>(Assumptions!$B$13*(Assumptions!$B$14*Assumptions!$B$43+Assumptions!$B$15*Assumptions!$B$44)*Assumptions!$B$6)</f>
        <v>212.649</v>
      </c>
      <c r="D13" s="22">
        <f>(Assumptions!$B$13*(Assumptions!$B$14*Assumptions!$B$43+Assumptions!$B$15*Assumptions!$B$44)*Assumptions!$B$6)</f>
        <v>212.649</v>
      </c>
      <c r="E13" s="10" t="s">
        <v>155</v>
      </c>
    </row>
    <row r="14" spans="1:5" x14ac:dyDescent="0.3">
      <c r="A14" s="9" t="s">
        <v>26</v>
      </c>
      <c r="B14" s="10" t="str">
        <f>Assumptions!$B$16&amp;" extra containers"</f>
        <v>0 extra containers</v>
      </c>
      <c r="C14" s="22">
        <f>Assumptions!$B$16*(Assumptions!$B$14*Assumptions!$B$43+Assumptions!$B$15*Assumptions!$B$44)*Assumptions!$B$6</f>
        <v>0</v>
      </c>
      <c r="D14" s="22">
        <f>Assumptions!$B$16*(Assumptions!$B$14*Assumptions!$B$43+Assumptions!$B$15*Assumptions!$B$44)*Assumptions!$B$6</f>
        <v>0</v>
      </c>
      <c r="E14" s="10" t="s">
        <v>156</v>
      </c>
    </row>
    <row r="15" spans="1:5" ht="6" customHeight="1" x14ac:dyDescent="0.3"/>
    <row r="16" spans="1:5" ht="19.95" customHeight="1" x14ac:dyDescent="0.3">
      <c r="A16" s="8" t="s">
        <v>157</v>
      </c>
      <c r="B16" s="8"/>
      <c r="C16" s="21">
        <f>C17</f>
        <v>36.040100000000002</v>
      </c>
      <c r="D16" s="21">
        <f>D17</f>
        <v>144.16040000000001</v>
      </c>
      <c r="E16" s="8" t="s">
        <v>158</v>
      </c>
    </row>
    <row r="17" spans="1:5" x14ac:dyDescent="0.3">
      <c r="A17" s="9" t="s">
        <v>159</v>
      </c>
      <c r="B17" s="10" t="str">
        <f>Assumptions!$B$19&amp;" containers typical, "&amp;Assumptions!$B$20&amp;" at peak"</f>
        <v>2 containers typical, 4 at peak</v>
      </c>
      <c r="C17" s="22">
        <f>(Assumptions!$B$19*(Assumptions!$B$21*Assumptions!$B$43+Assumptions!$B$22*Assumptions!$B$44)*Assumptions!$B$6)</f>
        <v>36.040100000000002</v>
      </c>
      <c r="D17" s="22">
        <f>(Assumptions!$B$20*(Assumptions!$B$23*Assumptions!$B$43+Assumptions!$B$24*Assumptions!$B$44)*Assumptions!$B$6)</f>
        <v>144.16040000000001</v>
      </c>
      <c r="E17" s="10" t="s">
        <v>160</v>
      </c>
    </row>
    <row r="18" spans="1:5" ht="6" customHeight="1" x14ac:dyDescent="0.3"/>
    <row r="19" spans="1:5" ht="19.95" customHeight="1" x14ac:dyDescent="0.3">
      <c r="A19" s="8" t="s">
        <v>161</v>
      </c>
      <c r="B19" s="8"/>
      <c r="C19" s="21">
        <f>SUM(C20:C23)</f>
        <v>20.511499999999998</v>
      </c>
      <c r="D19" s="21">
        <f>SUM(D20:D23)</f>
        <v>82.597999999999999</v>
      </c>
      <c r="E19" s="8" t="s">
        <v>162</v>
      </c>
    </row>
    <row r="20" spans="1:5" x14ac:dyDescent="0.3">
      <c r="A20" s="9" t="s">
        <v>163</v>
      </c>
      <c r="B20" s="10" t="str">
        <f>Assumptions!$B$35&amp;" GB x $"&amp;Assumptions!$B$54&amp;" per GB"</f>
        <v>50 GB x $0.3 per GB</v>
      </c>
      <c r="C20" s="22">
        <f>Assumptions!$B$35*Assumptions!$B$54</f>
        <v>15</v>
      </c>
      <c r="D20" s="22">
        <f>Assumptions!$B$36*Assumptions!$B$54</f>
        <v>60</v>
      </c>
      <c r="E20" s="10" t="s">
        <v>164</v>
      </c>
    </row>
    <row r="21" spans="1:5" x14ac:dyDescent="0.3">
      <c r="A21" s="9" t="s">
        <v>165</v>
      </c>
      <c r="B21" s="10" t="str">
        <f>Assumptions!$B$33&amp;" GB today, "&amp;Assumptions!$B$34&amp;" GB after a year"</f>
        <v>0.5 GB today, 26 GB after a year</v>
      </c>
      <c r="C21" s="22">
        <f>Assumptions!$B$33*Assumptions!$B$55</f>
        <v>1.15E-2</v>
      </c>
      <c r="D21" s="22">
        <f>Assumptions!$B$34*Assumptions!$B$55</f>
        <v>0.59799999999999998</v>
      </c>
      <c r="E21" s="10" t="s">
        <v>166</v>
      </c>
    </row>
    <row r="22" spans="1:5" x14ac:dyDescent="0.3">
      <c r="A22" s="9" t="s">
        <v>167</v>
      </c>
      <c r="B22" s="10" t="str">
        <f>Assumptions!$B$39&amp;" million messages x $"&amp;Assumptions!$B$65</f>
        <v>0.5 million messages x $0.4</v>
      </c>
      <c r="C22" s="22">
        <f>Assumptions!$B$39*Assumptions!$B$65</f>
        <v>0.2</v>
      </c>
      <c r="D22" s="22">
        <f>Assumptions!$B$40*Assumptions!$B$65</f>
        <v>0.8</v>
      </c>
      <c r="E22" s="10" t="s">
        <v>168</v>
      </c>
    </row>
    <row r="23" spans="1:5" x14ac:dyDescent="0.3">
      <c r="A23" s="9" t="s">
        <v>169</v>
      </c>
      <c r="B23" s="10" t="str">
        <f>Assumptions!$B$37&amp;" GB ingested and stored"</f>
        <v>10 GB ingested and stored</v>
      </c>
      <c r="C23" s="22">
        <f>Assumptions!$B$37*(Assumptions!$B$56+Assumptions!$B$57)</f>
        <v>5.3000000000000007</v>
      </c>
      <c r="D23" s="22">
        <f>Assumptions!$B$38*(Assumptions!$B$56+Assumptions!$B$57)</f>
        <v>21.200000000000003</v>
      </c>
      <c r="E23" s="10" t="s">
        <v>55</v>
      </c>
    </row>
    <row r="24" spans="1:5" ht="6" customHeight="1" x14ac:dyDescent="0.3"/>
    <row r="25" spans="1:5" ht="19.95" customHeight="1" x14ac:dyDescent="0.3">
      <c r="A25" s="8" t="s">
        <v>56</v>
      </c>
      <c r="B25" s="8"/>
      <c r="C25" s="21">
        <f>SUM(C26:C34)</f>
        <v>184.17499999999998</v>
      </c>
      <c r="D25" s="21">
        <f>SUM(D26:D34)</f>
        <v>298.02499999999998</v>
      </c>
      <c r="E25" s="8" t="s">
        <v>170</v>
      </c>
    </row>
    <row r="26" spans="1:5" x14ac:dyDescent="0.3">
      <c r="A26" s="9" t="s">
        <v>58</v>
      </c>
      <c r="B26" s="10" t="str">
        <f>"$"&amp;Assumptions!$B$45&amp;" per hour plus capacity units"</f>
        <v>$0.0225 per hour plus capacity units</v>
      </c>
      <c r="C26" s="22">
        <f>(Assumptions!$B$45+Assumptions!$B$47*Assumptions!$B$46)*Assumptions!$B$6</f>
        <v>45.625</v>
      </c>
      <c r="D26" s="22">
        <f>(Assumptions!$B$45+Assumptions!$B$48*Assumptions!$B$46)*Assumptions!$B$6</f>
        <v>133.22499999999999</v>
      </c>
      <c r="E26" s="10" t="s">
        <v>171</v>
      </c>
    </row>
    <row r="27" spans="1:5" x14ac:dyDescent="0.3">
      <c r="A27" s="9" t="s">
        <v>172</v>
      </c>
      <c r="B27" s="10" t="str">
        <f>Assumptions!$B$50&amp;" zones x $"&amp;Assumptions!$B$49&amp;" per hour plus data"</f>
        <v>2 zones x $0.045 per hour plus data</v>
      </c>
      <c r="C27" s="22">
        <f>Assumptions!$B$50*Assumptions!$B$49*Assumptions!$B$6+Assumptions!$B$52*Assumptions!$B$51</f>
        <v>67.95</v>
      </c>
      <c r="D27" s="22">
        <f>Assumptions!$B$50*Assumptions!$B$49*Assumptions!$B$6+Assumptions!$B$53*Assumptions!$B$51</f>
        <v>79.2</v>
      </c>
      <c r="E27" s="10" t="s">
        <v>173</v>
      </c>
    </row>
    <row r="28" spans="1:5" x14ac:dyDescent="0.3">
      <c r="A28" s="9" t="s">
        <v>87</v>
      </c>
      <c r="B28" s="10" t="str">
        <f>Assumptions!$B$59&amp;" endpoints x $"&amp;Assumptions!$B$58&amp;" per hour"</f>
        <v>8 endpoints x $0.01 per hour</v>
      </c>
      <c r="C28" s="22">
        <f>Assumptions!$B$59*Assumptions!$B$58*Assumptions!$B$6</f>
        <v>58.4</v>
      </c>
      <c r="D28" s="22">
        <f>Assumptions!$B$59*Assumptions!$B$58*Assumptions!$B$6</f>
        <v>58.4</v>
      </c>
      <c r="E28" s="10" t="s">
        <v>174</v>
      </c>
    </row>
    <row r="29" spans="1:5" x14ac:dyDescent="0.3">
      <c r="A29" s="9" t="s">
        <v>175</v>
      </c>
      <c r="B29" s="10" t="str">
        <f>Assumptions!$B$61&amp;" GB x $"&amp;Assumptions!$B$60</f>
        <v>5 GB x $0.1</v>
      </c>
      <c r="C29" s="22">
        <f>Assumptions!$B$61*Assumptions!$B$60</f>
        <v>0.5</v>
      </c>
      <c r="D29" s="22">
        <f>Assumptions!$B$61*Assumptions!$B$60</f>
        <v>0.5</v>
      </c>
      <c r="E29" s="10" t="s">
        <v>176</v>
      </c>
    </row>
    <row r="30" spans="1:5" x14ac:dyDescent="0.3">
      <c r="A30" s="9" t="s">
        <v>177</v>
      </c>
      <c r="B30" s="10" t="s">
        <v>178</v>
      </c>
      <c r="C30" s="22">
        <f>Assumptions!$B$64</f>
        <v>0.5</v>
      </c>
      <c r="D30" s="22">
        <f>Assumptions!$B$64</f>
        <v>0.5</v>
      </c>
      <c r="E30" s="10"/>
    </row>
    <row r="31" spans="1:5" x14ac:dyDescent="0.3">
      <c r="A31" s="9" t="s">
        <v>89</v>
      </c>
      <c r="B31" s="10" t="str">
        <f>Assumptions!$B$63&amp;" secrets x $"&amp;Assumptions!$B$62</f>
        <v>3 secrets x $0.4</v>
      </c>
      <c r="C31" s="22">
        <f>Assumptions!$B$63*Assumptions!$B$62</f>
        <v>1.2000000000000002</v>
      </c>
      <c r="D31" s="22">
        <f>Assumptions!$B$63*Assumptions!$B$62</f>
        <v>1.2000000000000002</v>
      </c>
      <c r="E31" s="10" t="s">
        <v>179</v>
      </c>
    </row>
    <row r="32" spans="1:5" x14ac:dyDescent="0.3">
      <c r="A32" s="9" t="s">
        <v>180</v>
      </c>
      <c r="B32" s="10" t="s">
        <v>181</v>
      </c>
      <c r="C32" s="22">
        <v>0</v>
      </c>
      <c r="D32" s="22">
        <v>0</v>
      </c>
      <c r="E32" s="10" t="s">
        <v>182</v>
      </c>
    </row>
    <row r="33" spans="1:5" x14ac:dyDescent="0.3">
      <c r="A33" s="9" t="s">
        <v>183</v>
      </c>
      <c r="B33" s="10" t="s">
        <v>184</v>
      </c>
      <c r="C33" s="22">
        <v>0</v>
      </c>
      <c r="D33" s="22">
        <v>0</v>
      </c>
      <c r="E33" s="10" t="s">
        <v>185</v>
      </c>
    </row>
    <row r="34" spans="1:5" x14ac:dyDescent="0.3">
      <c r="A34" s="9" t="s">
        <v>186</v>
      </c>
      <c r="B34" s="10" t="s">
        <v>187</v>
      </c>
      <c r="C34" s="22">
        <f>Assumptions!$B$66</f>
        <v>10</v>
      </c>
      <c r="D34" s="22">
        <f>Assumptions!$B$67</f>
        <v>25</v>
      </c>
      <c r="E34" s="10" t="s">
        <v>188</v>
      </c>
    </row>
    <row r="35" spans="1:5" ht="6" customHeight="1" x14ac:dyDescent="0.3"/>
    <row r="36" spans="1:5" ht="19.95" customHeight="1" x14ac:dyDescent="0.3">
      <c r="A36" s="8" t="s">
        <v>189</v>
      </c>
      <c r="B36" s="8"/>
      <c r="C36" s="21">
        <f>SUM(C37:C38)</f>
        <v>0</v>
      </c>
      <c r="D36" s="21">
        <f>SUM(D37:D38)</f>
        <v>0</v>
      </c>
      <c r="E36" s="8" t="s">
        <v>190</v>
      </c>
    </row>
    <row r="37" spans="1:5" x14ac:dyDescent="0.3">
      <c r="A37" s="9" t="s">
        <v>191</v>
      </c>
      <c r="B37" s="10" t="str">
        <f>"Multiplier "&amp;TEXT(Assumptions!$B$86,"0.00")&amp;" on sections 1 to 4"</f>
        <v>Multiplier 1.00 on sections 1 to 4</v>
      </c>
      <c r="C37" s="22">
        <f>(C12+C16+C19+C25)*(Assumptions!$B$86-1)</f>
        <v>0</v>
      </c>
      <c r="D37" s="22">
        <f>(D12+D16+D19+D25)*(Assumptions!$B$86-1)</f>
        <v>0</v>
      </c>
      <c r="E37" s="10" t="s">
        <v>192</v>
      </c>
    </row>
    <row r="38" spans="1:5" x14ac:dyDescent="0.3">
      <c r="A38" s="9" t="s">
        <v>193</v>
      </c>
      <c r="B38" s="10" t="str">
        <f>"Discount "&amp;TEXT(Assumptions!$B$87,"0%")&amp;" on container lines only"</f>
        <v>Discount 0% on container lines only</v>
      </c>
      <c r="C38" s="22">
        <f>-((Assumptions!$B$13*(Assumptions!$B$14*Assumptions!$B$43+Assumptions!$B$15*Assumptions!$B$44)*Assumptions!$B$6)+(Assumptions!$B$19*(Assumptions!$B$21*Assumptions!$B$43+Assumptions!$B$22*Assumptions!$B$44)*Assumptions!$B$6))*Assumptions!$B$87</f>
        <v>0</v>
      </c>
      <c r="D38" s="22">
        <f>-((Assumptions!$B$13*(Assumptions!$B$14*Assumptions!$B$43+Assumptions!$B$15*Assumptions!$B$44)*Assumptions!$B$6)+(Assumptions!$B$20*(Assumptions!$B$23*Assumptions!$B$43+Assumptions!$B$24*Assumptions!$B$44)*Assumptions!$B$6))*Assumptions!$B$87</f>
        <v>0</v>
      </c>
      <c r="E38" s="10" t="s">
        <v>194</v>
      </c>
    </row>
    <row r="39" spans="1:5" ht="6" customHeight="1" x14ac:dyDescent="0.3"/>
    <row r="40" spans="1:5" ht="19.95" customHeight="1" x14ac:dyDescent="0.3">
      <c r="A40" s="4" t="s">
        <v>195</v>
      </c>
      <c r="B40" s="4"/>
      <c r="C40" s="23">
        <f>C12+C16+C19+C25+C36</f>
        <v>453.37559999999996</v>
      </c>
      <c r="D40" s="23">
        <f>D12+D16+D19+D25+D36</f>
        <v>737.43239999999992</v>
      </c>
      <c r="E40" s="4" t="s">
        <v>196</v>
      </c>
    </row>
    <row r="41" spans="1:5" ht="6" customHeight="1" x14ac:dyDescent="0.3"/>
    <row r="42" spans="1:5" ht="19.95" customHeight="1" x14ac:dyDescent="0.3">
      <c r="A42" s="8" t="s">
        <v>197</v>
      </c>
      <c r="B42" s="8"/>
      <c r="C42" s="21">
        <f>C46+C47</f>
        <v>161.84356677684488</v>
      </c>
      <c r="D42" s="21">
        <f>D46+D47</f>
        <v>647.37426710737952</v>
      </c>
      <c r="E42" s="8" t="s">
        <v>198</v>
      </c>
    </row>
    <row r="43" spans="1:5" x14ac:dyDescent="0.3">
      <c r="A43" s="13" t="s">
        <v>199</v>
      </c>
      <c r="B43" s="14" t="s">
        <v>200</v>
      </c>
      <c r="C43" s="24">
        <f>(Assumptions!$B$27*Assumptions!$B$7)</f>
        <v>2166.6666666666665</v>
      </c>
      <c r="D43" s="24">
        <f>(Assumptions!$B$28*Assumptions!$B$7)</f>
        <v>8666.6666666666661</v>
      </c>
      <c r="E43" s="14" t="s">
        <v>201</v>
      </c>
    </row>
    <row r="44" spans="1:5" x14ac:dyDescent="0.3">
      <c r="A44" s="13" t="s">
        <v>202</v>
      </c>
      <c r="B44" s="14" t="s">
        <v>203</v>
      </c>
      <c r="C44" s="25">
        <f>((Assumptions!$B$27*Assumptions!$B$7)*Assumptions!$B$78*Assumptions!$B$79/Assumptions!$B$80/1000000)</f>
        <v>17.176197262952098</v>
      </c>
      <c r="D44" s="25">
        <f>((Assumptions!$B$28*Assumptions!$B$7)*Assumptions!$B$78*Assumptions!$B$79/Assumptions!$B$80/1000000)</f>
        <v>68.70478905180839</v>
      </c>
      <c r="E44" s="14" t="s">
        <v>204</v>
      </c>
    </row>
    <row r="45" spans="1:5" x14ac:dyDescent="0.3">
      <c r="A45" s="13" t="s">
        <v>205</v>
      </c>
      <c r="B45" s="14" t="s">
        <v>206</v>
      </c>
      <c r="C45" s="25">
        <f>((Assumptions!$B$27*Assumptions!$B$7)*Assumptions!$B$78*Assumptions!$B$81*Assumptions!$B$82/Assumptions!$B$83/1000000)</f>
        <v>5.9469963025889951</v>
      </c>
      <c r="D45" s="25">
        <f>((Assumptions!$B$28*Assumptions!$B$7)*Assumptions!$B$78*Assumptions!$B$81*Assumptions!$B$82/Assumptions!$B$83/1000000)</f>
        <v>23.787985210355981</v>
      </c>
      <c r="E45" s="14" t="s">
        <v>204</v>
      </c>
    </row>
    <row r="46" spans="1:5" x14ac:dyDescent="0.3">
      <c r="A46" s="9" t="s">
        <v>207</v>
      </c>
      <c r="B46" s="10" t="s">
        <v>208</v>
      </c>
      <c r="C46" s="22">
        <f>((Assumptions!$B$27*Assumptions!$B$7)*Assumptions!$B$78*Assumptions!$B$79/Assumptions!$B$80/1000000)*(Assumptions!$B$70*(1-Assumptions!$B$74)+Assumptions!$B$72*Assumptions!$B$74)+((Assumptions!$B$27*Assumptions!$B$7)*Assumptions!$B$78*Assumptions!$B$81*Assumptions!$B$82/Assumptions!$B$83/1000000)*(Assumptions!$B$71*(1-Assumptions!$B$74)+Assumptions!$B$73*Assumptions!$B$74)</f>
        <v>140.73353632769121</v>
      </c>
      <c r="D46" s="22">
        <f>((Assumptions!$B$28*Assumptions!$B$7)*Assumptions!$B$78*Assumptions!$B$79/Assumptions!$B$80/1000000)*(Assumptions!$B$70*(1-Assumptions!$B$74)+Assumptions!$B$72*Assumptions!$B$74)+((Assumptions!$B$28*Assumptions!$B$7)*Assumptions!$B$78*Assumptions!$B$81*Assumptions!$B$82/Assumptions!$B$83/1000000)*(Assumptions!$B$71*(1-Assumptions!$B$74)+Assumptions!$B$73*Assumptions!$B$74)</f>
        <v>562.93414531076485</v>
      </c>
      <c r="E46" s="10" t="s">
        <v>209</v>
      </c>
    </row>
    <row r="47" spans="1:5" x14ac:dyDescent="0.3">
      <c r="A47" s="9" t="s">
        <v>210</v>
      </c>
      <c r="B47" s="10" t="str">
        <f>"+"&amp;TEXT(Assumptions!$B$75,"0%")&amp;" of the line above"</f>
        <v>+15% of the line above</v>
      </c>
      <c r="C47" s="22">
        <f>C46*Assumptions!$B$75</f>
        <v>21.11003044915368</v>
      </c>
      <c r="D47" s="22">
        <f>D46*Assumptions!$B$75</f>
        <v>84.440121796614719</v>
      </c>
      <c r="E47" s="10" t="s">
        <v>211</v>
      </c>
    </row>
    <row r="48" spans="1:5" ht="6" customHeight="1" x14ac:dyDescent="0.3"/>
    <row r="49" spans="1:5" ht="22.05" customHeight="1" x14ac:dyDescent="0.3">
      <c r="A49" s="17" t="s">
        <v>212</v>
      </c>
      <c r="B49" s="17"/>
      <c r="C49" s="18">
        <f>C40+C42</f>
        <v>615.21916677684487</v>
      </c>
      <c r="D49" s="18">
        <f>D40+D42</f>
        <v>1384.8066671073793</v>
      </c>
      <c r="E49" s="17" t="s">
        <v>213</v>
      </c>
    </row>
    <row r="50" spans="1:5" ht="6" customHeight="1" x14ac:dyDescent="0.3"/>
    <row r="51" spans="1:5" ht="19.95" customHeight="1" x14ac:dyDescent="0.3">
      <c r="A51" s="8" t="s">
        <v>214</v>
      </c>
      <c r="B51" s="8"/>
      <c r="C51" s="21" t="s">
        <v>23</v>
      </c>
      <c r="D51" s="21" t="s">
        <v>23</v>
      </c>
      <c r="E51" s="8" t="s">
        <v>215</v>
      </c>
    </row>
    <row r="52" spans="1:5" x14ac:dyDescent="0.3">
      <c r="A52" s="26" t="s">
        <v>216</v>
      </c>
      <c r="B52" s="27" t="s">
        <v>217</v>
      </c>
      <c r="C52" s="28">
        <f>-C42*0.5</f>
        <v>-80.92178338842244</v>
      </c>
      <c r="D52" s="28">
        <f>-D42*0.5</f>
        <v>-323.68713355368976</v>
      </c>
      <c r="E52" s="27" t="s">
        <v>218</v>
      </c>
    </row>
    <row r="53" spans="1:5" x14ac:dyDescent="0.3">
      <c r="A53" s="26" t="s">
        <v>219</v>
      </c>
      <c r="B53" s="27" t="s">
        <v>220</v>
      </c>
      <c r="C53" s="28">
        <f>-(Assumptions!$B$33*(Assumptions!$B$54-Assumptions!$B$55))</f>
        <v>-0.13849999999999998</v>
      </c>
      <c r="D53" s="28">
        <f>-(Assumptions!$B$34*(Assumptions!$B$54-Assumptions!$B$55))</f>
        <v>-7.2019999999999991</v>
      </c>
      <c r="E53" s="27" t="s">
        <v>221</v>
      </c>
    </row>
    <row r="54" spans="1:5" x14ac:dyDescent="0.3">
      <c r="A54" s="26" t="s">
        <v>222</v>
      </c>
      <c r="B54" s="27" t="s">
        <v>223</v>
      </c>
      <c r="C54" s="28">
        <f>-((Assumptions!$B$13*(Assumptions!$B$14*Assumptions!$B$43+Assumptions!$B$15*Assumptions!$B$44)*Assumptions!$B$6)+(Assumptions!$B$19*(Assumptions!$B$21*Assumptions!$B$43+Assumptions!$B$22*Assumptions!$B$44)*Assumptions!$B$6))*0.17</f>
        <v>-42.277146999999999</v>
      </c>
      <c r="D54" s="28">
        <f>-((Assumptions!$B$13*(Assumptions!$B$14*Assumptions!$B$43+Assumptions!$B$15*Assumptions!$B$44)*Assumptions!$B$6)+(Assumptions!$B$20*(Assumptions!$B$23*Assumptions!$B$43+Assumptions!$B$24*Assumptions!$B$44)*Assumptions!$B$6))*0.17</f>
        <v>-60.657598</v>
      </c>
      <c r="E54" s="27" t="s">
        <v>224</v>
      </c>
    </row>
    <row r="55" spans="1:5" x14ac:dyDescent="0.3">
      <c r="A55" s="26" t="s">
        <v>225</v>
      </c>
      <c r="B55" s="27" t="s">
        <v>226</v>
      </c>
      <c r="C55" s="28">
        <f>-(Assumptions!$B$13*(Assumptions!$B$14*Assumptions!$B$43+Assumptions!$B$15*Assumptions!$B$44)*Assumptions!$B$6)*0.7</f>
        <v>-148.85429999999999</v>
      </c>
      <c r="D55" s="28">
        <f>-(Assumptions!$B$13*(Assumptions!$B$14*Assumptions!$B$43+Assumptions!$B$15*Assumptions!$B$44)*Assumptions!$B$6)*0.7</f>
        <v>-148.85429999999999</v>
      </c>
      <c r="E55" s="27" t="s">
        <v>227</v>
      </c>
    </row>
    <row r="56" spans="1:5" x14ac:dyDescent="0.3">
      <c r="A56" s="26" t="s">
        <v>228</v>
      </c>
      <c r="B56" s="27" t="s">
        <v>229</v>
      </c>
      <c r="C56" s="28">
        <f>-Assumptions!$B$49*Assumptions!$B$6</f>
        <v>-32.85</v>
      </c>
      <c r="D56" s="28">
        <f>-Assumptions!$B$49*Assumptions!$B$6</f>
        <v>-32.85</v>
      </c>
      <c r="E56" s="27" t="s">
        <v>230</v>
      </c>
    </row>
    <row r="57" spans="1:5" ht="6" customHeight="1" x14ac:dyDescent="0.3"/>
    <row r="58" spans="1:5" x14ac:dyDescent="0.3">
      <c r="A58" s="2" t="s">
        <v>231</v>
      </c>
    </row>
    <row r="59" spans="1:5" x14ac:dyDescent="0.3">
      <c r="A59" s="2" t="s">
        <v>232</v>
      </c>
    </row>
    <row r="60" spans="1:5" x14ac:dyDescent="0.3">
      <c r="A60" s="29" t="s">
        <v>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5"/>
  <sheetViews>
    <sheetView showGridLines="0" workbookViewId="0">
      <pane ySplit="2" topLeftCell="A3" activePane="bottomLeft" state="frozen"/>
      <selection pane="bottomLeft"/>
    </sheetView>
  </sheetViews>
  <sheetFormatPr defaultRowHeight="14.4" x14ac:dyDescent="0.3"/>
  <cols>
    <col min="1" max="1" width="48" customWidth="1"/>
    <col min="2" max="2" width="22" customWidth="1"/>
    <col min="3" max="3" width="20" customWidth="1"/>
    <col min="4" max="4" width="78" customWidth="1"/>
  </cols>
  <sheetData>
    <row r="1" spans="1:4" ht="25.95" customHeight="1" x14ac:dyDescent="0.3">
      <c r="A1" s="1" t="s">
        <v>234</v>
      </c>
    </row>
    <row r="2" spans="1:4" x14ac:dyDescent="0.3">
      <c r="A2" s="2" t="s">
        <v>235</v>
      </c>
    </row>
    <row r="3" spans="1:4" ht="6" customHeight="1" x14ac:dyDescent="0.3"/>
    <row r="4" spans="1:4" ht="22.05" customHeight="1" x14ac:dyDescent="0.3">
      <c r="A4" s="30" t="s">
        <v>236</v>
      </c>
      <c r="B4" s="30"/>
      <c r="C4" s="30"/>
      <c r="D4" s="30"/>
    </row>
    <row r="5" spans="1:4" x14ac:dyDescent="0.3">
      <c r="A5" s="10" t="s">
        <v>237</v>
      </c>
      <c r="B5" s="10"/>
      <c r="C5" s="10"/>
      <c r="D5" s="10"/>
    </row>
    <row r="6" spans="1:4" x14ac:dyDescent="0.3">
      <c r="A6" s="10" t="s">
        <v>238</v>
      </c>
      <c r="B6" s="10"/>
      <c r="C6" s="10"/>
      <c r="D6" s="10"/>
    </row>
    <row r="7" spans="1:4" ht="6" customHeight="1" x14ac:dyDescent="0.3"/>
    <row r="8" spans="1:4" x14ac:dyDescent="0.3">
      <c r="A8" s="31" t="s">
        <v>239</v>
      </c>
      <c r="B8" s="31"/>
      <c r="C8" s="31"/>
      <c r="D8" s="31"/>
    </row>
    <row r="9" spans="1:4" ht="6" customHeight="1" x14ac:dyDescent="0.3"/>
    <row r="10" spans="1:4" ht="22.05" customHeight="1" x14ac:dyDescent="0.3">
      <c r="A10" s="30" t="s">
        <v>240</v>
      </c>
      <c r="B10" s="30"/>
      <c r="C10" s="30"/>
      <c r="D10" s="30"/>
    </row>
    <row r="11" spans="1:4" x14ac:dyDescent="0.3">
      <c r="A11" s="10" t="s">
        <v>241</v>
      </c>
      <c r="B11" s="10"/>
      <c r="C11" s="10"/>
      <c r="D11" s="10"/>
    </row>
    <row r="12" spans="1:4" ht="6" customHeight="1" x14ac:dyDescent="0.3"/>
    <row r="13" spans="1:4" x14ac:dyDescent="0.3">
      <c r="A13" s="9" t="s">
        <v>242</v>
      </c>
      <c r="B13" s="10"/>
      <c r="C13" s="10"/>
      <c r="D13" s="10"/>
    </row>
    <row r="14" spans="1:4" x14ac:dyDescent="0.3">
      <c r="A14" s="9" t="s">
        <v>243</v>
      </c>
      <c r="B14" s="10"/>
      <c r="C14" s="10"/>
      <c r="D14" s="10"/>
    </row>
    <row r="15" spans="1:4" ht="6" customHeight="1" x14ac:dyDescent="0.3"/>
    <row r="16" spans="1:4" x14ac:dyDescent="0.3">
      <c r="A16" s="10" t="s">
        <v>244</v>
      </c>
      <c r="B16" s="10"/>
      <c r="C16" s="10"/>
      <c r="D16" s="10"/>
    </row>
    <row r="17" spans="1:4" x14ac:dyDescent="0.3">
      <c r="A17" s="10" t="s">
        <v>245</v>
      </c>
      <c r="B17" s="10"/>
      <c r="C17" s="10"/>
      <c r="D17" s="10"/>
    </row>
    <row r="18" spans="1:4" ht="6" customHeight="1" x14ac:dyDescent="0.3"/>
    <row r="19" spans="1:4" x14ac:dyDescent="0.3">
      <c r="A19" s="10" t="s">
        <v>246</v>
      </c>
      <c r="B19" s="10"/>
      <c r="C19" s="10"/>
      <c r="D19" s="10"/>
    </row>
    <row r="20" spans="1:4" x14ac:dyDescent="0.3">
      <c r="A20" s="10" t="s">
        <v>247</v>
      </c>
      <c r="B20" s="10"/>
      <c r="C20" s="10"/>
      <c r="D20" s="10"/>
    </row>
    <row r="21" spans="1:4" ht="6" customHeight="1" x14ac:dyDescent="0.3"/>
    <row r="22" spans="1:4" ht="22.05" customHeight="1" x14ac:dyDescent="0.3">
      <c r="A22" s="30" t="s">
        <v>248</v>
      </c>
      <c r="B22" s="30"/>
      <c r="C22" s="30"/>
      <c r="D22" s="30"/>
    </row>
    <row r="23" spans="1:4" ht="19.95" customHeight="1" x14ac:dyDescent="0.3">
      <c r="A23" s="3" t="s">
        <v>249</v>
      </c>
      <c r="B23" s="3" t="s">
        <v>250</v>
      </c>
      <c r="C23" s="3" t="s">
        <v>251</v>
      </c>
      <c r="D23" s="3" t="s">
        <v>252</v>
      </c>
    </row>
    <row r="24" spans="1:4" x14ac:dyDescent="0.3">
      <c r="A24" s="32" t="s">
        <v>253</v>
      </c>
      <c r="B24" s="32" t="s">
        <v>254</v>
      </c>
      <c r="C24" s="32" t="s">
        <v>254</v>
      </c>
      <c r="D24" s="32" t="s">
        <v>255</v>
      </c>
    </row>
    <row r="25" spans="1:4" x14ac:dyDescent="0.3">
      <c r="A25" s="33" t="s">
        <v>256</v>
      </c>
      <c r="B25" s="33" t="s">
        <v>257</v>
      </c>
      <c r="C25" s="33" t="s">
        <v>258</v>
      </c>
      <c r="D25" s="33" t="s">
        <v>259</v>
      </c>
    </row>
    <row r="26" spans="1:4" x14ac:dyDescent="0.3">
      <c r="A26" s="33" t="s">
        <v>260</v>
      </c>
      <c r="B26" s="33" t="s">
        <v>261</v>
      </c>
      <c r="C26" s="33" t="s">
        <v>262</v>
      </c>
      <c r="D26" s="33" t="s">
        <v>263</v>
      </c>
    </row>
    <row r="27" spans="1:4" x14ac:dyDescent="0.3">
      <c r="A27" s="33" t="s">
        <v>264</v>
      </c>
      <c r="B27" s="33" t="s">
        <v>265</v>
      </c>
      <c r="C27" s="33" t="s">
        <v>266</v>
      </c>
      <c r="D27" s="33" t="s">
        <v>267</v>
      </c>
    </row>
    <row r="28" spans="1:4" x14ac:dyDescent="0.3">
      <c r="A28" s="33" t="s">
        <v>268</v>
      </c>
      <c r="B28" s="33" t="s">
        <v>269</v>
      </c>
      <c r="C28" s="33" t="s">
        <v>270</v>
      </c>
      <c r="D28" s="33" t="s">
        <v>271</v>
      </c>
    </row>
    <row r="29" spans="1:4" x14ac:dyDescent="0.3">
      <c r="A29" s="33" t="s">
        <v>272</v>
      </c>
      <c r="B29" s="33" t="s">
        <v>273</v>
      </c>
      <c r="C29" s="33" t="s">
        <v>274</v>
      </c>
      <c r="D29" s="33" t="s">
        <v>275</v>
      </c>
    </row>
    <row r="30" spans="1:4" ht="6" customHeight="1" x14ac:dyDescent="0.3"/>
    <row r="31" spans="1:4" x14ac:dyDescent="0.3">
      <c r="A31" s="34" t="s">
        <v>276</v>
      </c>
      <c r="B31" s="34"/>
      <c r="C31" s="34"/>
      <c r="D31" s="34"/>
    </row>
    <row r="32" spans="1:4" x14ac:dyDescent="0.3">
      <c r="A32" s="10" t="s">
        <v>277</v>
      </c>
      <c r="B32" s="10"/>
      <c r="C32" s="10"/>
      <c r="D32" s="10"/>
    </row>
    <row r="33" spans="1:4" x14ac:dyDescent="0.3">
      <c r="A33" s="10" t="s">
        <v>278</v>
      </c>
      <c r="B33" s="10"/>
      <c r="C33" s="10"/>
      <c r="D33" s="10"/>
    </row>
    <row r="34" spans="1:4" x14ac:dyDescent="0.3">
      <c r="A34" s="10" t="s">
        <v>279</v>
      </c>
      <c r="B34" s="10"/>
      <c r="C34" s="10"/>
      <c r="D34" s="10"/>
    </row>
    <row r="35" spans="1:4" ht="6" customHeight="1" x14ac:dyDescent="0.3"/>
    <row r="36" spans="1:4" ht="22.05" customHeight="1" x14ac:dyDescent="0.3">
      <c r="A36" s="30" t="s">
        <v>280</v>
      </c>
      <c r="B36" s="30"/>
      <c r="C36" s="30"/>
      <c r="D36" s="30"/>
    </row>
    <row r="37" spans="1:4" x14ac:dyDescent="0.3">
      <c r="A37" s="33" t="s">
        <v>281</v>
      </c>
      <c r="B37" s="33" t="s">
        <v>282</v>
      </c>
      <c r="C37" s="33"/>
      <c r="D37" s="33" t="s">
        <v>283</v>
      </c>
    </row>
    <row r="38" spans="1:4" x14ac:dyDescent="0.3">
      <c r="A38" s="33" t="s">
        <v>284</v>
      </c>
      <c r="B38" s="33" t="s">
        <v>285</v>
      </c>
      <c r="C38" s="33"/>
      <c r="D38" s="33" t="s">
        <v>286</v>
      </c>
    </row>
    <row r="39" spans="1:4" ht="6" customHeight="1" x14ac:dyDescent="0.3"/>
    <row r="40" spans="1:4" x14ac:dyDescent="0.3">
      <c r="A40" s="10" t="s">
        <v>287</v>
      </c>
      <c r="B40" s="10"/>
      <c r="C40" s="10"/>
      <c r="D40" s="10"/>
    </row>
    <row r="41" spans="1:4" x14ac:dyDescent="0.3">
      <c r="A41" s="10" t="s">
        <v>288</v>
      </c>
      <c r="B41" s="10"/>
      <c r="C41" s="10"/>
      <c r="D41" s="10"/>
    </row>
    <row r="42" spans="1:4" ht="6" customHeight="1" x14ac:dyDescent="0.3"/>
    <row r="43" spans="1:4" ht="22.05" customHeight="1" x14ac:dyDescent="0.3">
      <c r="A43" s="30" t="s">
        <v>289</v>
      </c>
      <c r="B43" s="30"/>
      <c r="C43" s="30"/>
      <c r="D43" s="30"/>
    </row>
    <row r="44" spans="1:4" x14ac:dyDescent="0.3">
      <c r="A44" s="10" t="s">
        <v>290</v>
      </c>
      <c r="B44" s="10"/>
      <c r="C44" s="10"/>
      <c r="D44" s="10"/>
    </row>
    <row r="45" spans="1:4" x14ac:dyDescent="0.3">
      <c r="A45" s="10" t="s">
        <v>291</v>
      </c>
      <c r="B45" s="10"/>
      <c r="C45" s="10"/>
      <c r="D45" s="10"/>
    </row>
    <row r="46" spans="1:4" ht="6" customHeight="1" x14ac:dyDescent="0.3"/>
    <row r="47" spans="1:4" ht="19.95" customHeight="1" x14ac:dyDescent="0.3">
      <c r="A47" s="3"/>
      <c r="B47" s="3" t="s">
        <v>250</v>
      </c>
      <c r="C47" s="3" t="s">
        <v>251</v>
      </c>
      <c r="D47" s="3"/>
    </row>
    <row r="48" spans="1:4" x14ac:dyDescent="0.3">
      <c r="A48" s="33" t="s">
        <v>292</v>
      </c>
      <c r="B48" s="35">
        <f>Assumptions!$B$13</f>
        <v>5</v>
      </c>
      <c r="C48" s="35">
        <f>Assumptions!$B$13</f>
        <v>5</v>
      </c>
      <c r="D48" s="33" t="s">
        <v>293</v>
      </c>
    </row>
    <row r="49" spans="1:4" x14ac:dyDescent="0.3">
      <c r="A49" s="33" t="s">
        <v>294</v>
      </c>
      <c r="B49" s="36">
        <f>Assumptions!$B$14</f>
        <v>1</v>
      </c>
      <c r="C49" s="36">
        <f>Assumptions!$B$14</f>
        <v>1</v>
      </c>
      <c r="D49" s="33" t="s">
        <v>295</v>
      </c>
    </row>
    <row r="50" spans="1:4" x14ac:dyDescent="0.3">
      <c r="A50" s="33" t="s">
        <v>296</v>
      </c>
      <c r="B50" s="36">
        <f>Assumptions!$B$15</f>
        <v>4</v>
      </c>
      <c r="C50" s="36">
        <f>Assumptions!$B$15</f>
        <v>4</v>
      </c>
      <c r="D50" s="33" t="s">
        <v>297</v>
      </c>
    </row>
    <row r="51" spans="1:4" x14ac:dyDescent="0.3">
      <c r="A51" s="33" t="s">
        <v>298</v>
      </c>
      <c r="B51" s="37">
        <f>Assumptions!$B$43</f>
        <v>4.0480000000000002E-2</v>
      </c>
      <c r="C51" s="37">
        <f>Assumptions!$B$43</f>
        <v>4.0480000000000002E-2</v>
      </c>
      <c r="D51" s="33" t="s">
        <v>299</v>
      </c>
    </row>
    <row r="52" spans="1:4" x14ac:dyDescent="0.3">
      <c r="A52" s="33" t="s">
        <v>300</v>
      </c>
      <c r="B52" s="38">
        <f>Assumptions!$B$44</f>
        <v>4.4450000000000002E-3</v>
      </c>
      <c r="C52" s="38">
        <f>Assumptions!$B$44</f>
        <v>4.4450000000000002E-3</v>
      </c>
      <c r="D52" s="33" t="s">
        <v>299</v>
      </c>
    </row>
    <row r="53" spans="1:4" x14ac:dyDescent="0.3">
      <c r="A53" s="33" t="s">
        <v>301</v>
      </c>
      <c r="B53" s="35">
        <f>Assumptions!$B$6</f>
        <v>730</v>
      </c>
      <c r="C53" s="35">
        <f>Assumptions!$B$6</f>
        <v>730</v>
      </c>
      <c r="D53" s="33" t="s">
        <v>302</v>
      </c>
    </row>
    <row r="54" spans="1:4" ht="19.95" customHeight="1" x14ac:dyDescent="0.3">
      <c r="A54" s="4" t="s">
        <v>303</v>
      </c>
      <c r="B54" s="23">
        <f>(Assumptions!$B$13*(Assumptions!$B$14*Assumptions!$B$43+Assumptions!$B$15*Assumptions!$B$44)*Assumptions!$B$6)</f>
        <v>212.649</v>
      </c>
      <c r="C54" s="23">
        <f>(Assumptions!$B$13*(Assumptions!$B$14*Assumptions!$B$43+Assumptions!$B$15*Assumptions!$B$44)*Assumptions!$B$6)</f>
        <v>212.649</v>
      </c>
      <c r="D54" s="4" t="s">
        <v>304</v>
      </c>
    </row>
    <row r="55" spans="1:4" ht="6" customHeight="1" x14ac:dyDescent="0.3"/>
    <row r="56" spans="1:4" x14ac:dyDescent="0.3">
      <c r="A56" s="2" t="s">
        <v>305</v>
      </c>
      <c r="B56" s="2"/>
      <c r="C56" s="2"/>
      <c r="D56" s="2"/>
    </row>
    <row r="57" spans="1:4" x14ac:dyDescent="0.3">
      <c r="A57" s="2" t="s">
        <v>306</v>
      </c>
      <c r="B57" s="2"/>
      <c r="C57" s="2"/>
      <c r="D57" s="2"/>
    </row>
    <row r="58" spans="1:4" ht="6" customHeight="1" x14ac:dyDescent="0.3"/>
    <row r="59" spans="1:4" ht="22.05" customHeight="1" x14ac:dyDescent="0.3">
      <c r="A59" s="30" t="s">
        <v>307</v>
      </c>
      <c r="B59" s="30"/>
      <c r="C59" s="30"/>
      <c r="D59" s="30"/>
    </row>
    <row r="60" spans="1:4" ht="19.95" customHeight="1" x14ac:dyDescent="0.3">
      <c r="A60" s="3"/>
      <c r="B60" s="3" t="s">
        <v>250</v>
      </c>
      <c r="C60" s="3" t="s">
        <v>251</v>
      </c>
      <c r="D60" s="3" t="s">
        <v>308</v>
      </c>
    </row>
    <row r="61" spans="1:4" x14ac:dyDescent="0.3">
      <c r="A61" s="32" t="s">
        <v>309</v>
      </c>
      <c r="B61" s="39">
        <f>Cost!C49</f>
        <v>615.21916677684487</v>
      </c>
      <c r="C61" s="39">
        <f>Cost!D49</f>
        <v>1384.8066671073793</v>
      </c>
      <c r="D61" s="40">
        <f>Cost!D49/Cost!C49</f>
        <v>2.2509160017923868</v>
      </c>
    </row>
    <row r="62" spans="1:4" x14ac:dyDescent="0.3">
      <c r="A62" s="33" t="s">
        <v>310</v>
      </c>
      <c r="B62" s="41">
        <f>Cost!C49*12</f>
        <v>7382.6300013221389</v>
      </c>
      <c r="C62" s="41">
        <f>Cost!D49*12</f>
        <v>16617.680005288552</v>
      </c>
      <c r="D62" s="33"/>
    </row>
    <row r="63" spans="1:4" x14ac:dyDescent="0.3">
      <c r="A63" s="42" t="s">
        <v>311</v>
      </c>
      <c r="B63" s="43">
        <f>Cost!C40</f>
        <v>453.37559999999996</v>
      </c>
      <c r="C63" s="43">
        <f>Cost!D40</f>
        <v>737.43239999999992</v>
      </c>
      <c r="D63" s="44">
        <f>Cost!D40/Cost!C40</f>
        <v>1.6265374669479344</v>
      </c>
    </row>
    <row r="64" spans="1:4" x14ac:dyDescent="0.3">
      <c r="A64" s="42" t="s">
        <v>312</v>
      </c>
      <c r="B64" s="43">
        <f>Cost!C42</f>
        <v>161.84356677684488</v>
      </c>
      <c r="C64" s="43">
        <f>Cost!D42</f>
        <v>647.37426710737952</v>
      </c>
      <c r="D64" s="44">
        <f>Cost!D42/Cost!C42</f>
        <v>4</v>
      </c>
    </row>
    <row r="65" spans="1:4" ht="6" customHeight="1" x14ac:dyDescent="0.3"/>
    <row r="66" spans="1:4" ht="22.05" customHeight="1" x14ac:dyDescent="0.3">
      <c r="A66" s="30" t="s">
        <v>313</v>
      </c>
      <c r="B66" s="30"/>
      <c r="C66" s="30"/>
      <c r="D66" s="30"/>
    </row>
    <row r="67" spans="1:4" x14ac:dyDescent="0.3">
      <c r="A67" s="10" t="s">
        <v>314</v>
      </c>
      <c r="B67" s="10"/>
      <c r="C67" s="10"/>
      <c r="D67" s="10"/>
    </row>
    <row r="68" spans="1:4" ht="6" customHeight="1" x14ac:dyDescent="0.3"/>
    <row r="69" spans="1:4" x14ac:dyDescent="0.3">
      <c r="A69" s="45" t="s">
        <v>315</v>
      </c>
      <c r="B69" s="46">
        <v>73</v>
      </c>
      <c r="C69" s="45" t="s">
        <v>316</v>
      </c>
      <c r="D69" s="45" t="s">
        <v>317</v>
      </c>
    </row>
    <row r="70" spans="1:4" x14ac:dyDescent="0.3">
      <c r="A70" s="45" t="s">
        <v>318</v>
      </c>
      <c r="B70" s="47">
        <v>1.5</v>
      </c>
      <c r="C70" s="45" t="s">
        <v>319</v>
      </c>
      <c r="D70" s="45" t="s">
        <v>320</v>
      </c>
    </row>
    <row r="71" spans="1:4" ht="6" customHeight="1" x14ac:dyDescent="0.3"/>
    <row r="72" spans="1:4" ht="19.95" customHeight="1" x14ac:dyDescent="0.3">
      <c r="A72" s="3"/>
      <c r="B72" s="3" t="s">
        <v>321</v>
      </c>
      <c r="C72" s="3"/>
      <c r="D72" s="3"/>
    </row>
    <row r="73" spans="1:4" x14ac:dyDescent="0.3">
      <c r="A73" s="33" t="s">
        <v>281</v>
      </c>
      <c r="B73" s="41">
        <f>Cost!C40+(Cost!D40-Cost!C40)*B69/Assumptions!$B$6</f>
        <v>481.78127999999998</v>
      </c>
      <c r="C73" s="33"/>
      <c r="D73" s="33" t="s">
        <v>322</v>
      </c>
    </row>
    <row r="74" spans="1:4" x14ac:dyDescent="0.3">
      <c r="A74" s="33" t="s">
        <v>284</v>
      </c>
      <c r="B74" s="41">
        <f>Cost!C42*B70</f>
        <v>242.76535016526731</v>
      </c>
      <c r="C74" s="33"/>
      <c r="D74" s="33" t="s">
        <v>323</v>
      </c>
    </row>
    <row r="75" spans="1:4" ht="19.95" customHeight="1" x14ac:dyDescent="0.3">
      <c r="A75" s="4" t="s">
        <v>324</v>
      </c>
      <c r="B75" s="23">
        <f>B73+B74</f>
        <v>724.54663016526729</v>
      </c>
      <c r="C75" s="4"/>
      <c r="D75" s="4" t="s">
        <v>325</v>
      </c>
    </row>
    <row r="76" spans="1:4" x14ac:dyDescent="0.3">
      <c r="A76" s="42" t="s">
        <v>326</v>
      </c>
      <c r="B76" s="43">
        <f>B75-Cost!C49</f>
        <v>109.32746338842242</v>
      </c>
      <c r="C76" s="42"/>
      <c r="D76" s="42"/>
    </row>
    <row r="77" spans="1:4" x14ac:dyDescent="0.3">
      <c r="A77" s="42" t="s">
        <v>327</v>
      </c>
      <c r="B77" s="43">
        <f>Cost!D49-B75</f>
        <v>660.26003694211204</v>
      </c>
      <c r="C77" s="42"/>
      <c r="D77" s="42"/>
    </row>
    <row r="78" spans="1:4" ht="6" customHeight="1" x14ac:dyDescent="0.3"/>
    <row r="79" spans="1:4" ht="22.05" customHeight="1" x14ac:dyDescent="0.3">
      <c r="A79" s="30" t="s">
        <v>328</v>
      </c>
      <c r="B79" s="30"/>
      <c r="C79" s="30"/>
      <c r="D79" s="30"/>
    </row>
    <row r="80" spans="1:4" ht="19.95" customHeight="1" x14ac:dyDescent="0.3">
      <c r="A80" s="3" t="s">
        <v>329</v>
      </c>
      <c r="B80" s="3"/>
      <c r="C80" s="3" t="s">
        <v>330</v>
      </c>
      <c r="D80" s="3"/>
    </row>
    <row r="81" spans="1:4" x14ac:dyDescent="0.3">
      <c r="A81" s="33" t="s">
        <v>331</v>
      </c>
      <c r="B81" s="33"/>
      <c r="C81" s="33" t="s">
        <v>332</v>
      </c>
      <c r="D81" s="33"/>
    </row>
    <row r="82" spans="1:4" x14ac:dyDescent="0.3">
      <c r="A82" s="33" t="s">
        <v>333</v>
      </c>
      <c r="B82" s="33"/>
      <c r="C82" s="33" t="s">
        <v>334</v>
      </c>
      <c r="D82" s="33"/>
    </row>
    <row r="83" spans="1:4" x14ac:dyDescent="0.3">
      <c r="A83" s="33" t="s">
        <v>335</v>
      </c>
      <c r="B83" s="33"/>
      <c r="C83" s="33" t="s">
        <v>336</v>
      </c>
      <c r="D83" s="33"/>
    </row>
    <row r="84" spans="1:4" ht="6" customHeight="1" x14ac:dyDescent="0.3"/>
    <row r="85" spans="1:4" x14ac:dyDescent="0.3">
      <c r="A85" s="34" t="s">
        <v>337</v>
      </c>
      <c r="B85" s="34"/>
      <c r="C85" s="34"/>
      <c r="D85" s="34"/>
    </row>
    <row r="86" spans="1:4" x14ac:dyDescent="0.3">
      <c r="A86" s="34" t="s">
        <v>338</v>
      </c>
      <c r="B86" s="34"/>
      <c r="C86" s="34"/>
      <c r="D86" s="34"/>
    </row>
    <row r="87" spans="1:4" ht="6" customHeight="1" x14ac:dyDescent="0.3"/>
    <row r="88" spans="1:4" ht="22.05" customHeight="1" x14ac:dyDescent="0.3">
      <c r="A88" s="30" t="s">
        <v>339</v>
      </c>
      <c r="B88" s="30"/>
      <c r="C88" s="30"/>
      <c r="D88" s="30"/>
    </row>
    <row r="89" spans="1:4" ht="19.95" customHeight="1" x14ac:dyDescent="0.3">
      <c r="A89" s="3" t="s">
        <v>340</v>
      </c>
      <c r="B89" s="3" t="s">
        <v>341</v>
      </c>
      <c r="C89" s="3"/>
      <c r="D89" s="3"/>
    </row>
    <row r="90" spans="1:4" x14ac:dyDescent="0.3">
      <c r="A90" s="33" t="s">
        <v>342</v>
      </c>
      <c r="B90" s="33" t="s">
        <v>343</v>
      </c>
      <c r="C90" s="33"/>
      <c r="D90" s="33"/>
    </row>
    <row r="91" spans="1:4" x14ac:dyDescent="0.3">
      <c r="A91" s="33" t="s">
        <v>344</v>
      </c>
      <c r="B91" s="33" t="s">
        <v>345</v>
      </c>
      <c r="C91" s="33"/>
      <c r="D91" s="33"/>
    </row>
    <row r="92" spans="1:4" x14ac:dyDescent="0.3">
      <c r="A92" s="33" t="s">
        <v>346</v>
      </c>
      <c r="B92" s="33" t="s">
        <v>347</v>
      </c>
      <c r="C92" s="33"/>
      <c r="D92" s="33"/>
    </row>
    <row r="93" spans="1:4" x14ac:dyDescent="0.3">
      <c r="A93" s="33" t="s">
        <v>348</v>
      </c>
      <c r="B93" s="33" t="s">
        <v>349</v>
      </c>
      <c r="C93" s="33"/>
      <c r="D93" s="33"/>
    </row>
    <row r="94" spans="1:4" x14ac:dyDescent="0.3">
      <c r="A94" s="33" t="s">
        <v>350</v>
      </c>
      <c r="B94" s="33" t="s">
        <v>351</v>
      </c>
      <c r="C94" s="33"/>
      <c r="D94" s="33"/>
    </row>
    <row r="95" spans="1:4" x14ac:dyDescent="0.3">
      <c r="A95" s="33" t="s">
        <v>352</v>
      </c>
      <c r="B95" s="33" t="s">
        <v>353</v>
      </c>
      <c r="C95" s="33"/>
      <c r="D95" s="33"/>
    </row>
    <row r="96" spans="1:4" x14ac:dyDescent="0.3">
      <c r="A96" s="33" t="s">
        <v>354</v>
      </c>
      <c r="B96" s="33" t="s">
        <v>355</v>
      </c>
      <c r="C96" s="33"/>
      <c r="D96" s="33"/>
    </row>
    <row r="97" spans="1:4" x14ac:dyDescent="0.3">
      <c r="A97" s="33" t="s">
        <v>356</v>
      </c>
      <c r="B97" s="33" t="s">
        <v>357</v>
      </c>
      <c r="C97" s="33"/>
      <c r="D97" s="33"/>
    </row>
    <row r="98" spans="1:4" x14ac:dyDescent="0.3">
      <c r="A98" s="33" t="s">
        <v>58</v>
      </c>
      <c r="B98" s="33" t="s">
        <v>358</v>
      </c>
      <c r="C98" s="33"/>
      <c r="D98" s="33"/>
    </row>
    <row r="99" spans="1:4" x14ac:dyDescent="0.3">
      <c r="A99" s="33" t="s">
        <v>165</v>
      </c>
      <c r="B99" s="33" t="s">
        <v>359</v>
      </c>
      <c r="C99" s="33"/>
      <c r="D99" s="33"/>
    </row>
    <row r="100" spans="1:4" x14ac:dyDescent="0.3">
      <c r="A100" s="33" t="s">
        <v>360</v>
      </c>
      <c r="B100" s="33" t="s">
        <v>361</v>
      </c>
      <c r="C100" s="33"/>
      <c r="D100" s="33"/>
    </row>
    <row r="101" spans="1:4" x14ac:dyDescent="0.3">
      <c r="A101" s="33" t="s">
        <v>362</v>
      </c>
      <c r="B101" s="33" t="s">
        <v>363</v>
      </c>
      <c r="C101" s="33"/>
      <c r="D101" s="33"/>
    </row>
    <row r="102" spans="1:4" x14ac:dyDescent="0.3">
      <c r="A102" s="33" t="s">
        <v>364</v>
      </c>
      <c r="B102" s="33" t="s">
        <v>365</v>
      </c>
      <c r="C102" s="33"/>
      <c r="D102" s="33"/>
    </row>
    <row r="103" spans="1:4" ht="6" customHeight="1" x14ac:dyDescent="0.3"/>
    <row r="104" spans="1:4" x14ac:dyDescent="0.3">
      <c r="A104" s="2" t="s">
        <v>366</v>
      </c>
    </row>
    <row r="105" spans="1:4" x14ac:dyDescent="0.3">
      <c r="A105" s="29" t="s">
        <v>367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7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8" customWidth="1"/>
    <col min="2" max="3" width="14" customWidth="1"/>
    <col min="4" max="4" width="58" customWidth="1"/>
  </cols>
  <sheetData>
    <row r="1" spans="1:4" ht="24" customHeight="1" x14ac:dyDescent="0.3">
      <c r="A1" s="1" t="s">
        <v>368</v>
      </c>
    </row>
    <row r="2" spans="1:4" x14ac:dyDescent="0.3">
      <c r="A2" s="2" t="s">
        <v>369</v>
      </c>
    </row>
    <row r="3" spans="1:4" ht="6" customHeight="1" x14ac:dyDescent="0.3"/>
    <row r="4" spans="1:4" ht="19.95" customHeight="1" x14ac:dyDescent="0.3">
      <c r="A4" s="3" t="s">
        <v>370</v>
      </c>
      <c r="B4" s="3" t="s">
        <v>371</v>
      </c>
      <c r="C4" s="3" t="s">
        <v>372</v>
      </c>
      <c r="D4" s="3" t="s">
        <v>373</v>
      </c>
    </row>
    <row r="5" spans="1:4" ht="18" customHeight="1" x14ac:dyDescent="0.3">
      <c r="A5" s="8" t="s">
        <v>374</v>
      </c>
      <c r="B5" s="8"/>
      <c r="C5" s="8"/>
      <c r="D5" s="8"/>
    </row>
    <row r="6" spans="1:4" x14ac:dyDescent="0.3">
      <c r="A6" s="48" t="s">
        <v>375</v>
      </c>
      <c r="B6" s="49">
        <v>730</v>
      </c>
      <c r="C6" s="33" t="s">
        <v>376</v>
      </c>
      <c r="D6" s="50" t="s">
        <v>377</v>
      </c>
    </row>
    <row r="7" spans="1:4" x14ac:dyDescent="0.3">
      <c r="A7" s="48" t="s">
        <v>378</v>
      </c>
      <c r="B7" s="51">
        <v>4.333333333333333</v>
      </c>
      <c r="C7" s="33" t="s">
        <v>379</v>
      </c>
      <c r="D7" s="50" t="s">
        <v>380</v>
      </c>
    </row>
    <row r="8" spans="1:4" x14ac:dyDescent="0.3">
      <c r="A8" s="48" t="s">
        <v>381</v>
      </c>
      <c r="B8" s="49">
        <v>50</v>
      </c>
      <c r="C8" s="33" t="s">
        <v>382</v>
      </c>
      <c r="D8" s="50" t="s">
        <v>383</v>
      </c>
    </row>
    <row r="9" spans="1:4" x14ac:dyDescent="0.3">
      <c r="A9" s="48" t="s">
        <v>384</v>
      </c>
      <c r="B9" s="49">
        <v>10</v>
      </c>
      <c r="C9" s="33" t="s">
        <v>382</v>
      </c>
      <c r="D9" s="50" t="s">
        <v>385</v>
      </c>
    </row>
    <row r="10" spans="1:4" x14ac:dyDescent="0.3">
      <c r="A10" s="48" t="s">
        <v>386</v>
      </c>
      <c r="B10" s="49">
        <v>50</v>
      </c>
      <c r="C10" s="33" t="s">
        <v>382</v>
      </c>
      <c r="D10" s="50" t="s">
        <v>387</v>
      </c>
    </row>
    <row r="11" spans="1:4" ht="6" customHeight="1" x14ac:dyDescent="0.3"/>
    <row r="12" spans="1:4" ht="18" customHeight="1" x14ac:dyDescent="0.3">
      <c r="A12" s="8" t="s">
        <v>388</v>
      </c>
      <c r="B12" s="8"/>
      <c r="C12" s="8"/>
      <c r="D12" s="8"/>
    </row>
    <row r="13" spans="1:4" x14ac:dyDescent="0.3">
      <c r="A13" s="48" t="s">
        <v>389</v>
      </c>
      <c r="B13" s="49">
        <v>5</v>
      </c>
      <c r="C13" s="33" t="s">
        <v>390</v>
      </c>
      <c r="D13" s="50" t="s">
        <v>391</v>
      </c>
    </row>
    <row r="14" spans="1:4" x14ac:dyDescent="0.3">
      <c r="A14" s="48" t="s">
        <v>392</v>
      </c>
      <c r="B14" s="52">
        <v>1</v>
      </c>
      <c r="C14" s="33" t="s">
        <v>393</v>
      </c>
      <c r="D14" s="50" t="s">
        <v>394</v>
      </c>
    </row>
    <row r="15" spans="1:4" x14ac:dyDescent="0.3">
      <c r="A15" s="48" t="s">
        <v>395</v>
      </c>
      <c r="B15" s="52">
        <v>4</v>
      </c>
      <c r="C15" s="33" t="s">
        <v>396</v>
      </c>
      <c r="D15" s="50" t="s">
        <v>397</v>
      </c>
    </row>
    <row r="16" spans="1:4" x14ac:dyDescent="0.3">
      <c r="A16" s="48" t="s">
        <v>398</v>
      </c>
      <c r="B16" s="49">
        <v>0</v>
      </c>
      <c r="C16" s="33" t="s">
        <v>390</v>
      </c>
      <c r="D16" s="50" t="s">
        <v>399</v>
      </c>
    </row>
    <row r="17" spans="1:4" ht="6" customHeight="1" x14ac:dyDescent="0.3"/>
    <row r="18" spans="1:4" ht="18" customHeight="1" x14ac:dyDescent="0.3">
      <c r="A18" s="8" t="s">
        <v>400</v>
      </c>
      <c r="B18" s="8"/>
      <c r="C18" s="8"/>
      <c r="D18" s="8"/>
    </row>
    <row r="19" spans="1:4" x14ac:dyDescent="0.3">
      <c r="A19" s="48" t="s">
        <v>401</v>
      </c>
      <c r="B19" s="49">
        <v>2</v>
      </c>
      <c r="C19" s="33" t="s">
        <v>390</v>
      </c>
      <c r="D19" s="50" t="s">
        <v>402</v>
      </c>
    </row>
    <row r="20" spans="1:4" x14ac:dyDescent="0.3">
      <c r="A20" s="48" t="s">
        <v>403</v>
      </c>
      <c r="B20" s="49">
        <v>4</v>
      </c>
      <c r="C20" s="33" t="s">
        <v>390</v>
      </c>
      <c r="D20" s="50" t="s">
        <v>404</v>
      </c>
    </row>
    <row r="21" spans="1:4" x14ac:dyDescent="0.3">
      <c r="A21" s="48" t="s">
        <v>405</v>
      </c>
      <c r="B21" s="52">
        <v>0.5</v>
      </c>
      <c r="C21" s="33" t="s">
        <v>393</v>
      </c>
      <c r="D21" s="50" t="s">
        <v>406</v>
      </c>
    </row>
    <row r="22" spans="1:4" x14ac:dyDescent="0.3">
      <c r="A22" s="48" t="s">
        <v>407</v>
      </c>
      <c r="B22" s="52">
        <v>1</v>
      </c>
      <c r="C22" s="33" t="s">
        <v>396</v>
      </c>
      <c r="D22" s="50" t="s">
        <v>408</v>
      </c>
    </row>
    <row r="23" spans="1:4" x14ac:dyDescent="0.3">
      <c r="A23" s="48" t="s">
        <v>409</v>
      </c>
      <c r="B23" s="52">
        <v>1</v>
      </c>
      <c r="C23" s="33" t="s">
        <v>393</v>
      </c>
      <c r="D23" s="50" t="s">
        <v>385</v>
      </c>
    </row>
    <row r="24" spans="1:4" x14ac:dyDescent="0.3">
      <c r="A24" s="48" t="s">
        <v>410</v>
      </c>
      <c r="B24" s="52">
        <v>2</v>
      </c>
      <c r="C24" s="33" t="s">
        <v>396</v>
      </c>
      <c r="D24" s="50" t="s">
        <v>411</v>
      </c>
    </row>
    <row r="25" spans="1:4" ht="6" customHeight="1" x14ac:dyDescent="0.3"/>
    <row r="26" spans="1:4" ht="18" customHeight="1" x14ac:dyDescent="0.3">
      <c r="A26" s="8" t="s">
        <v>412</v>
      </c>
      <c r="B26" s="8"/>
      <c r="C26" s="8"/>
      <c r="D26" s="8"/>
    </row>
    <row r="27" spans="1:4" x14ac:dyDescent="0.3">
      <c r="A27" s="48" t="s">
        <v>413</v>
      </c>
      <c r="B27" s="49">
        <v>500</v>
      </c>
      <c r="C27" s="33" t="s">
        <v>414</v>
      </c>
      <c r="D27" s="50" t="s">
        <v>415</v>
      </c>
    </row>
    <row r="28" spans="1:4" x14ac:dyDescent="0.3">
      <c r="A28" s="48" t="s">
        <v>416</v>
      </c>
      <c r="B28" s="49">
        <v>2000</v>
      </c>
      <c r="C28" s="33" t="s">
        <v>414</v>
      </c>
      <c r="D28" s="50" t="s">
        <v>417</v>
      </c>
    </row>
    <row r="29" spans="1:4" x14ac:dyDescent="0.3">
      <c r="A29" s="48" t="s">
        <v>418</v>
      </c>
      <c r="B29" s="49">
        <v>1</v>
      </c>
      <c r="C29" s="33" t="s">
        <v>419</v>
      </c>
      <c r="D29" s="50" t="s">
        <v>420</v>
      </c>
    </row>
    <row r="30" spans="1:4" x14ac:dyDescent="0.3">
      <c r="A30" s="48" t="s">
        <v>421</v>
      </c>
      <c r="B30" s="49">
        <v>5</v>
      </c>
      <c r="C30" s="33" t="s">
        <v>419</v>
      </c>
      <c r="D30" s="50" t="s">
        <v>422</v>
      </c>
    </row>
    <row r="31" spans="1:4" ht="6" customHeight="1" x14ac:dyDescent="0.3"/>
    <row r="32" spans="1:4" ht="18" customHeight="1" x14ac:dyDescent="0.3">
      <c r="A32" s="8" t="s">
        <v>423</v>
      </c>
      <c r="B32" s="8"/>
      <c r="C32" s="8"/>
      <c r="D32" s="8"/>
    </row>
    <row r="33" spans="1:4" x14ac:dyDescent="0.3">
      <c r="A33" s="48" t="s">
        <v>424</v>
      </c>
      <c r="B33" s="51">
        <v>0.5</v>
      </c>
      <c r="C33" s="33" t="s">
        <v>396</v>
      </c>
      <c r="D33" s="50" t="s">
        <v>425</v>
      </c>
    </row>
    <row r="34" spans="1:4" x14ac:dyDescent="0.3">
      <c r="A34" s="48" t="s">
        <v>426</v>
      </c>
      <c r="B34" s="49">
        <v>26</v>
      </c>
      <c r="C34" s="33" t="s">
        <v>396</v>
      </c>
      <c r="D34" s="50" t="s">
        <v>427</v>
      </c>
    </row>
    <row r="35" spans="1:4" x14ac:dyDescent="0.3">
      <c r="A35" s="48" t="s">
        <v>428</v>
      </c>
      <c r="B35" s="49">
        <v>50</v>
      </c>
      <c r="C35" s="33" t="s">
        <v>396</v>
      </c>
      <c r="D35" s="50" t="s">
        <v>429</v>
      </c>
    </row>
    <row r="36" spans="1:4" x14ac:dyDescent="0.3">
      <c r="A36" s="48" t="s">
        <v>430</v>
      </c>
      <c r="B36" s="49">
        <v>200</v>
      </c>
      <c r="C36" s="33" t="s">
        <v>396</v>
      </c>
      <c r="D36" s="50" t="s">
        <v>385</v>
      </c>
    </row>
    <row r="37" spans="1:4" x14ac:dyDescent="0.3">
      <c r="A37" s="48" t="s">
        <v>431</v>
      </c>
      <c r="B37" s="49">
        <v>10</v>
      </c>
      <c r="C37" s="33" t="s">
        <v>432</v>
      </c>
      <c r="D37" s="50" t="s">
        <v>385</v>
      </c>
    </row>
    <row r="38" spans="1:4" x14ac:dyDescent="0.3">
      <c r="A38" s="48" t="s">
        <v>433</v>
      </c>
      <c r="B38" s="49">
        <v>40</v>
      </c>
      <c r="C38" s="33" t="s">
        <v>432</v>
      </c>
      <c r="D38" s="50" t="s">
        <v>385</v>
      </c>
    </row>
    <row r="39" spans="1:4" x14ac:dyDescent="0.3">
      <c r="A39" s="48" t="s">
        <v>434</v>
      </c>
      <c r="B39" s="52">
        <v>0.5</v>
      </c>
      <c r="C39" s="33" t="s">
        <v>435</v>
      </c>
      <c r="D39" s="50" t="s">
        <v>385</v>
      </c>
    </row>
    <row r="40" spans="1:4" x14ac:dyDescent="0.3">
      <c r="A40" s="48" t="s">
        <v>436</v>
      </c>
      <c r="B40" s="52">
        <v>2</v>
      </c>
      <c r="C40" s="33" t="s">
        <v>435</v>
      </c>
      <c r="D40" s="50" t="s">
        <v>385</v>
      </c>
    </row>
    <row r="41" spans="1:4" ht="6" customHeight="1" x14ac:dyDescent="0.3"/>
    <row r="42" spans="1:4" ht="18" customHeight="1" x14ac:dyDescent="0.3">
      <c r="A42" s="8" t="s">
        <v>437</v>
      </c>
      <c r="B42" s="8"/>
      <c r="C42" s="8"/>
      <c r="D42" s="8"/>
    </row>
    <row r="43" spans="1:4" x14ac:dyDescent="0.3">
      <c r="A43" s="48" t="s">
        <v>438</v>
      </c>
      <c r="B43" s="53">
        <v>4.0480000000000002E-2</v>
      </c>
      <c r="C43" s="33" t="s">
        <v>439</v>
      </c>
      <c r="D43" s="50" t="s">
        <v>440</v>
      </c>
    </row>
    <row r="44" spans="1:4" x14ac:dyDescent="0.3">
      <c r="A44" s="48" t="s">
        <v>441</v>
      </c>
      <c r="B44" s="54">
        <v>4.4450000000000002E-3</v>
      </c>
      <c r="C44" s="33" t="s">
        <v>439</v>
      </c>
      <c r="D44" s="50" t="s">
        <v>440</v>
      </c>
    </row>
    <row r="45" spans="1:4" x14ac:dyDescent="0.3">
      <c r="A45" s="48" t="s">
        <v>442</v>
      </c>
      <c r="B45" s="53">
        <v>2.2499999999999999E-2</v>
      </c>
      <c r="C45" s="33" t="s">
        <v>439</v>
      </c>
      <c r="D45" s="50" t="s">
        <v>440</v>
      </c>
    </row>
    <row r="46" spans="1:4" x14ac:dyDescent="0.3">
      <c r="A46" s="48" t="s">
        <v>443</v>
      </c>
      <c r="B46" s="55">
        <v>8.0000000000000002E-3</v>
      </c>
      <c r="C46" s="33" t="s">
        <v>439</v>
      </c>
      <c r="D46" s="50" t="s">
        <v>440</v>
      </c>
    </row>
    <row r="47" spans="1:4" x14ac:dyDescent="0.3">
      <c r="A47" s="48" t="s">
        <v>444</v>
      </c>
      <c r="B47" s="49">
        <v>5</v>
      </c>
      <c r="C47" s="33" t="s">
        <v>445</v>
      </c>
      <c r="D47" s="50" t="s">
        <v>385</v>
      </c>
    </row>
    <row r="48" spans="1:4" x14ac:dyDescent="0.3">
      <c r="A48" s="48" t="s">
        <v>446</v>
      </c>
      <c r="B48" s="49">
        <v>20</v>
      </c>
      <c r="C48" s="33" t="s">
        <v>445</v>
      </c>
      <c r="D48" s="50" t="s">
        <v>385</v>
      </c>
    </row>
    <row r="49" spans="1:4" x14ac:dyDescent="0.3">
      <c r="A49" s="48" t="s">
        <v>447</v>
      </c>
      <c r="B49" s="55">
        <v>4.4999999999999998E-2</v>
      </c>
      <c r="C49" s="33" t="s">
        <v>439</v>
      </c>
      <c r="D49" s="50" t="s">
        <v>440</v>
      </c>
    </row>
    <row r="50" spans="1:4" x14ac:dyDescent="0.3">
      <c r="A50" s="48" t="s">
        <v>448</v>
      </c>
      <c r="B50" s="49">
        <v>2</v>
      </c>
      <c r="C50" s="33" t="s">
        <v>449</v>
      </c>
      <c r="D50" s="50" t="s">
        <v>450</v>
      </c>
    </row>
    <row r="51" spans="1:4" x14ac:dyDescent="0.3">
      <c r="A51" s="48" t="s">
        <v>451</v>
      </c>
      <c r="B51" s="55">
        <v>4.4999999999999998E-2</v>
      </c>
      <c r="C51" s="33" t="s">
        <v>439</v>
      </c>
      <c r="D51" s="50" t="s">
        <v>440</v>
      </c>
    </row>
    <row r="52" spans="1:4" x14ac:dyDescent="0.3">
      <c r="A52" s="48" t="s">
        <v>452</v>
      </c>
      <c r="B52" s="49">
        <v>50</v>
      </c>
      <c r="C52" s="33" t="s">
        <v>396</v>
      </c>
      <c r="D52" s="50" t="s">
        <v>385</v>
      </c>
    </row>
    <row r="53" spans="1:4" x14ac:dyDescent="0.3">
      <c r="A53" s="48" t="s">
        <v>453</v>
      </c>
      <c r="B53" s="49">
        <v>300</v>
      </c>
      <c r="C53" s="33" t="s">
        <v>396</v>
      </c>
      <c r="D53" s="50" t="s">
        <v>385</v>
      </c>
    </row>
    <row r="54" spans="1:4" x14ac:dyDescent="0.3">
      <c r="A54" s="48" t="s">
        <v>454</v>
      </c>
      <c r="B54" s="55">
        <v>0.3</v>
      </c>
      <c r="C54" s="33" t="s">
        <v>439</v>
      </c>
      <c r="D54" s="50" t="s">
        <v>440</v>
      </c>
    </row>
    <row r="55" spans="1:4" x14ac:dyDescent="0.3">
      <c r="A55" s="48" t="s">
        <v>455</v>
      </c>
      <c r="B55" s="55">
        <v>2.3E-2</v>
      </c>
      <c r="C55" s="33" t="s">
        <v>439</v>
      </c>
      <c r="D55" s="50" t="s">
        <v>440</v>
      </c>
    </row>
    <row r="56" spans="1:4" x14ac:dyDescent="0.3">
      <c r="A56" s="48" t="s">
        <v>456</v>
      </c>
      <c r="B56" s="55">
        <v>0.5</v>
      </c>
      <c r="C56" s="33" t="s">
        <v>439</v>
      </c>
      <c r="D56" s="50" t="s">
        <v>440</v>
      </c>
    </row>
    <row r="57" spans="1:4" x14ac:dyDescent="0.3">
      <c r="A57" s="48" t="s">
        <v>457</v>
      </c>
      <c r="B57" s="55">
        <v>0.03</v>
      </c>
      <c r="C57" s="33" t="s">
        <v>439</v>
      </c>
      <c r="D57" s="50" t="s">
        <v>440</v>
      </c>
    </row>
    <row r="58" spans="1:4" x14ac:dyDescent="0.3">
      <c r="A58" s="48" t="s">
        <v>458</v>
      </c>
      <c r="B58" s="55">
        <v>0.01</v>
      </c>
      <c r="C58" s="33" t="s">
        <v>439</v>
      </c>
      <c r="D58" s="50" t="s">
        <v>440</v>
      </c>
    </row>
    <row r="59" spans="1:4" x14ac:dyDescent="0.3">
      <c r="A59" s="48" t="s">
        <v>459</v>
      </c>
      <c r="B59" s="49">
        <v>8</v>
      </c>
      <c r="C59" s="33" t="s">
        <v>449</v>
      </c>
      <c r="D59" s="50" t="s">
        <v>460</v>
      </c>
    </row>
    <row r="60" spans="1:4" x14ac:dyDescent="0.3">
      <c r="A60" s="48" t="s">
        <v>461</v>
      </c>
      <c r="B60" s="55">
        <v>0.1</v>
      </c>
      <c r="C60" s="33" t="s">
        <v>439</v>
      </c>
      <c r="D60" s="50" t="s">
        <v>440</v>
      </c>
    </row>
    <row r="61" spans="1:4" x14ac:dyDescent="0.3">
      <c r="A61" s="48" t="s">
        <v>462</v>
      </c>
      <c r="B61" s="49">
        <v>5</v>
      </c>
      <c r="C61" s="33" t="s">
        <v>396</v>
      </c>
      <c r="D61" s="50" t="s">
        <v>385</v>
      </c>
    </row>
    <row r="62" spans="1:4" x14ac:dyDescent="0.3">
      <c r="A62" s="48" t="s">
        <v>463</v>
      </c>
      <c r="B62" s="55">
        <v>0.4</v>
      </c>
      <c r="C62" s="33" t="s">
        <v>439</v>
      </c>
      <c r="D62" s="50" t="s">
        <v>440</v>
      </c>
    </row>
    <row r="63" spans="1:4" x14ac:dyDescent="0.3">
      <c r="A63" s="48" t="s">
        <v>464</v>
      </c>
      <c r="B63" s="49">
        <v>3</v>
      </c>
      <c r="C63" s="33" t="s">
        <v>449</v>
      </c>
      <c r="D63" s="50" t="s">
        <v>465</v>
      </c>
    </row>
    <row r="64" spans="1:4" x14ac:dyDescent="0.3">
      <c r="A64" s="48" t="s">
        <v>466</v>
      </c>
      <c r="B64" s="55">
        <v>0.5</v>
      </c>
      <c r="C64" s="33" t="s">
        <v>439</v>
      </c>
      <c r="D64" s="50" t="s">
        <v>440</v>
      </c>
    </row>
    <row r="65" spans="1:4" x14ac:dyDescent="0.3">
      <c r="A65" s="48" t="s">
        <v>467</v>
      </c>
      <c r="B65" s="55">
        <v>0.4</v>
      </c>
      <c r="C65" s="33" t="s">
        <v>439</v>
      </c>
      <c r="D65" s="50" t="s">
        <v>440</v>
      </c>
    </row>
    <row r="66" spans="1:4" x14ac:dyDescent="0.3">
      <c r="A66" s="48" t="s">
        <v>468</v>
      </c>
      <c r="B66" s="56">
        <v>10</v>
      </c>
      <c r="C66" s="33" t="s">
        <v>469</v>
      </c>
      <c r="D66" s="50" t="s">
        <v>385</v>
      </c>
    </row>
    <row r="67" spans="1:4" x14ac:dyDescent="0.3">
      <c r="A67" s="48" t="s">
        <v>470</v>
      </c>
      <c r="B67" s="56">
        <v>25</v>
      </c>
      <c r="C67" s="33" t="s">
        <v>469</v>
      </c>
      <c r="D67" s="50" t="s">
        <v>385</v>
      </c>
    </row>
    <row r="68" spans="1:4" ht="6" customHeight="1" x14ac:dyDescent="0.3"/>
    <row r="69" spans="1:4" ht="18" customHeight="1" x14ac:dyDescent="0.3">
      <c r="A69" s="8" t="s">
        <v>471</v>
      </c>
      <c r="B69" s="8"/>
      <c r="C69" s="8"/>
      <c r="D69" s="8"/>
    </row>
    <row r="70" spans="1:4" x14ac:dyDescent="0.3">
      <c r="A70" s="48" t="s">
        <v>472</v>
      </c>
      <c r="B70" s="57">
        <v>3</v>
      </c>
      <c r="C70" s="33" t="s">
        <v>439</v>
      </c>
      <c r="D70" s="50" t="s">
        <v>473</v>
      </c>
    </row>
    <row r="71" spans="1:4" x14ac:dyDescent="0.3">
      <c r="A71" s="48" t="s">
        <v>474</v>
      </c>
      <c r="B71" s="57">
        <v>15</v>
      </c>
      <c r="C71" s="33" t="s">
        <v>439</v>
      </c>
      <c r="D71" s="50" t="s">
        <v>473</v>
      </c>
    </row>
    <row r="72" spans="1:4" x14ac:dyDescent="0.3">
      <c r="A72" s="48" t="s">
        <v>475</v>
      </c>
      <c r="B72" s="57">
        <v>5</v>
      </c>
      <c r="C72" s="33" t="s">
        <v>439</v>
      </c>
      <c r="D72" s="50" t="s">
        <v>473</v>
      </c>
    </row>
    <row r="73" spans="1:4" x14ac:dyDescent="0.3">
      <c r="A73" s="48" t="s">
        <v>476</v>
      </c>
      <c r="B73" s="57">
        <v>25</v>
      </c>
      <c r="C73" s="33" t="s">
        <v>439</v>
      </c>
      <c r="D73" s="50" t="s">
        <v>473</v>
      </c>
    </row>
    <row r="74" spans="1:4" x14ac:dyDescent="0.3">
      <c r="A74" s="48" t="s">
        <v>477</v>
      </c>
      <c r="B74" s="58">
        <v>0</v>
      </c>
      <c r="C74" s="33" t="s">
        <v>478</v>
      </c>
      <c r="D74" s="50" t="s">
        <v>479</v>
      </c>
    </row>
    <row r="75" spans="1:4" x14ac:dyDescent="0.3">
      <c r="A75" s="48" t="s">
        <v>210</v>
      </c>
      <c r="B75" s="58">
        <v>0.15</v>
      </c>
      <c r="C75" s="33" t="s">
        <v>478</v>
      </c>
      <c r="D75" s="50" t="s">
        <v>480</v>
      </c>
    </row>
    <row r="76" spans="1:4" ht="6" customHeight="1" x14ac:dyDescent="0.3"/>
    <row r="77" spans="1:4" ht="18" customHeight="1" x14ac:dyDescent="0.3">
      <c r="A77" s="8" t="s">
        <v>481</v>
      </c>
      <c r="B77" s="8"/>
      <c r="C77" s="8"/>
      <c r="D77" s="8"/>
    </row>
    <row r="78" spans="1:4" x14ac:dyDescent="0.3">
      <c r="A78" s="48" t="s">
        <v>482</v>
      </c>
      <c r="B78" s="49">
        <v>18470</v>
      </c>
      <c r="C78" s="33" t="s">
        <v>483</v>
      </c>
      <c r="D78" s="50" t="s">
        <v>484</v>
      </c>
    </row>
    <row r="79" spans="1:4" x14ac:dyDescent="0.3">
      <c r="A79" s="48" t="s">
        <v>485</v>
      </c>
      <c r="B79" s="59">
        <v>1.4636</v>
      </c>
      <c r="C79" s="33" t="s">
        <v>319</v>
      </c>
      <c r="D79" s="50" t="s">
        <v>486</v>
      </c>
    </row>
    <row r="80" spans="1:4" x14ac:dyDescent="0.3">
      <c r="A80" s="48" t="s">
        <v>487</v>
      </c>
      <c r="B80" s="51">
        <v>3.41</v>
      </c>
      <c r="C80" s="33" t="s">
        <v>483</v>
      </c>
      <c r="D80" s="50" t="s">
        <v>486</v>
      </c>
    </row>
    <row r="81" spans="1:4" x14ac:dyDescent="0.3">
      <c r="A81" s="48" t="s">
        <v>488</v>
      </c>
      <c r="B81" s="59">
        <v>0.26619999999999999</v>
      </c>
      <c r="C81" s="33" t="s">
        <v>319</v>
      </c>
      <c r="D81" s="50" t="s">
        <v>489</v>
      </c>
    </row>
    <row r="82" spans="1:4" x14ac:dyDescent="0.3">
      <c r="A82" s="48" t="s">
        <v>490</v>
      </c>
      <c r="B82" s="51">
        <v>1.1499999999999999</v>
      </c>
      <c r="C82" s="33" t="s">
        <v>319</v>
      </c>
      <c r="D82" s="50" t="s">
        <v>385</v>
      </c>
    </row>
    <row r="83" spans="1:4" x14ac:dyDescent="0.3">
      <c r="A83" s="48" t="s">
        <v>491</v>
      </c>
      <c r="B83" s="51">
        <v>2.06</v>
      </c>
      <c r="C83" s="33" t="s">
        <v>483</v>
      </c>
      <c r="D83" s="50" t="s">
        <v>486</v>
      </c>
    </row>
    <row r="84" spans="1:4" ht="6" customHeight="1" x14ac:dyDescent="0.3"/>
    <row r="85" spans="1:4" ht="18" customHeight="1" x14ac:dyDescent="0.3">
      <c r="A85" s="8" t="s">
        <v>492</v>
      </c>
      <c r="B85" s="8"/>
      <c r="C85" s="8"/>
      <c r="D85" s="8"/>
    </row>
    <row r="86" spans="1:4" x14ac:dyDescent="0.3">
      <c r="A86" s="48" t="s">
        <v>493</v>
      </c>
      <c r="B86" s="51">
        <v>1</v>
      </c>
      <c r="C86" s="33" t="s">
        <v>319</v>
      </c>
      <c r="D86" s="50" t="s">
        <v>494</v>
      </c>
    </row>
    <row r="87" spans="1:4" x14ac:dyDescent="0.3">
      <c r="A87" s="48" t="s">
        <v>495</v>
      </c>
      <c r="B87" s="58">
        <v>0</v>
      </c>
      <c r="C87" s="33" t="s">
        <v>478</v>
      </c>
      <c r="D87" s="50" t="s">
        <v>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System Requirements</vt:lpstr>
      <vt:lpstr>Cost</vt:lpstr>
      <vt:lpstr>How Peak Is Calculated</vt:lpstr>
      <vt:lpstr>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Rahul Jana</cp:lastModifiedBy>
  <dcterms:created xsi:type="dcterms:W3CDTF">2026-08-18T02:21:11Z</dcterms:created>
  <dcterms:modified xsi:type="dcterms:W3CDTF">2026-08-18T02:32:44Z</dcterms:modified>
</cp:coreProperties>
</file>