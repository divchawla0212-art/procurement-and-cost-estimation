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ute - EC2 vs Fargate" sheetId="2" state="visible" r:id="rId2"/>
    <sheet xmlns:r="http://schemas.openxmlformats.org/officeDocument/2006/relationships" name="Storage" sheetId="3" state="visible" r:id="rId3"/>
    <sheet xmlns:r="http://schemas.openxmlformats.org/officeDocument/2006/relationships" name="Other cloud infra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$#,##0.0000"/>
    <numFmt numFmtId="166" formatCode="$#,##0.000000"/>
    <numFmt numFmtId="167" formatCode="$#,##0.000"/>
    <numFmt numFmtId="168" formatCode="$#,##0;($#,##0);-"/>
    <numFmt numFmtId="169" formatCode="$#,##0.00;($#,##0.00);-"/>
  </numFmts>
  <fonts count="14">
    <font>
      <name val="Calibri"/>
      <family val="2"/>
      <color theme="1"/>
      <sz val="11"/>
      <scheme val="minor"/>
    </font>
    <font>
      <name val="Arial"/>
      <b val="1"/>
      <color rgb="001B3A57"/>
      <sz val="16"/>
    </font>
    <font>
      <name val="Arial"/>
      <i val="1"/>
      <color rgb="006B7A8C"/>
      <sz val="10"/>
    </font>
    <font>
      <name val="Arial"/>
      <b val="1"/>
      <color rgb="00FFFFFF"/>
      <sz val="10"/>
    </font>
    <font>
      <name val="Arial"/>
      <b val="1"/>
      <color rgb="001B3A57"/>
      <sz val="10"/>
    </font>
    <font>
      <name val="Arial"/>
      <color rgb="001F2933"/>
      <sz val="10"/>
    </font>
    <font>
      <name val="Arial"/>
      <b val="1"/>
      <color rgb="000000FF"/>
      <sz val="10"/>
    </font>
    <font>
      <name val="Arial"/>
      <i val="1"/>
      <color rgb="006B7A8C"/>
      <sz val="9"/>
    </font>
    <font>
      <name val="Arial"/>
      <i val="1"/>
      <color rgb="001E6B4F"/>
      <sz val="10"/>
    </font>
    <font>
      <name val="Arial"/>
      <color rgb="006B7A8C"/>
      <sz val="10"/>
    </font>
    <font>
      <name val="Arial"/>
      <color rgb="009A3B1B"/>
      <sz val="10"/>
    </font>
    <font>
      <name val="Arial"/>
      <i val="1"/>
      <color rgb="001F2933"/>
      <sz val="10"/>
    </font>
    <font>
      <name val="Arial"/>
      <b val="1"/>
      <color rgb="001F2933"/>
      <sz val="10"/>
    </font>
    <font>
      <name val="Arial"/>
      <i val="1"/>
      <color rgb="00B03A2E"/>
      <sz val="10"/>
    </font>
  </fonts>
  <fills count="7">
    <fill>
      <patternFill/>
    </fill>
    <fill>
      <patternFill patternType="gray125"/>
    </fill>
    <fill>
      <patternFill patternType="solid">
        <fgColor rgb="001B3A57"/>
      </patternFill>
    </fill>
    <fill>
      <patternFill patternType="solid">
        <fgColor rgb="00DCE6EE"/>
      </patternFill>
    </fill>
    <fill>
      <patternFill patternType="solid">
        <fgColor rgb="00DFF0E6"/>
      </patternFill>
    </fill>
    <fill>
      <patternFill patternType="solid">
        <fgColor rgb="00FFF3C4"/>
      </patternFill>
    </fill>
    <fill>
      <patternFill patternType="solid">
        <fgColor rgb="00FBE6DC"/>
      </patternFill>
    </fill>
  </fills>
  <borders count="2">
    <border>
      <left/>
      <right/>
      <top/>
      <bottom/>
      <diagonal/>
    </border>
    <border>
      <bottom style="thin">
        <color rgb="00C9D2DA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indent="1"/>
    </xf>
    <xf numFmtId="168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2" fillId="4" borderId="0" applyAlignment="1" pivotButton="0" quotePrefix="0" xfId="0">
      <alignment vertical="center" indent="1"/>
    </xf>
    <xf numFmtId="168" fontId="12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169" fontId="5" fillId="0" borderId="0" applyAlignment="1" pivotButton="0" quotePrefix="0" xfId="0">
      <alignment vertical="center"/>
    </xf>
    <xf numFmtId="0" fontId="12" fillId="5" borderId="0" applyAlignment="1" pivotButton="0" quotePrefix="0" xfId="0">
      <alignment vertical="center"/>
    </xf>
    <xf numFmtId="168" fontId="12" fillId="5" borderId="0" applyAlignment="1" pivotButton="0" quotePrefix="0" xfId="0">
      <alignment vertical="center"/>
    </xf>
    <xf numFmtId="0" fontId="12" fillId="0" borderId="0" applyAlignment="1" pivotButton="0" quotePrefix="0" xfId="0">
      <alignment vertical="center" indent="1"/>
    </xf>
    <xf numFmtId="0" fontId="9" fillId="0" borderId="0" applyAlignment="1" pivotButton="0" quotePrefix="0" xfId="0">
      <alignment vertical="center" indent="1"/>
    </xf>
    <xf numFmtId="0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3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168" fontId="4" fillId="3" borderId="0" applyAlignment="1" pivotButton="0" quotePrefix="0" xfId="0">
      <alignment vertical="center"/>
    </xf>
    <xf numFmtId="0" fontId="8" fillId="0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/>
    </xf>
    <xf numFmtId="169" fontId="8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indent="1"/>
    </xf>
    <xf numFmtId="0" fontId="10" fillId="0" borderId="0" applyAlignment="1" pivotButton="0" quotePrefix="0" xfId="0">
      <alignment vertical="center"/>
    </xf>
    <xf numFmtId="9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indent="1"/>
    </xf>
    <xf numFmtId="0" fontId="11" fillId="0" borderId="0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2" fillId="5" borderId="0" applyAlignment="1" pivotButton="0" quotePrefix="0" xfId="0">
      <alignment vertical="center"/>
    </xf>
    <xf numFmtId="0" fontId="10" fillId="6" borderId="0" applyAlignment="1" pivotButton="0" quotePrefix="0" xfId="0">
      <alignment vertical="center" indent="1"/>
    </xf>
    <xf numFmtId="0" fontId="10" fillId="6" borderId="0" applyAlignment="1" pivotButton="0" quotePrefix="0" xfId="0">
      <alignment vertical="center"/>
    </xf>
    <xf numFmtId="1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 indent="1"/>
    </xf>
    <xf numFmtId="3" fontId="6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164" fontId="6" fillId="0" borderId="1" applyAlignment="1" pivotButton="0" quotePrefix="0" xfId="0">
      <alignment vertical="center"/>
    </xf>
    <xf numFmtId="4" fontId="6" fillId="0" borderId="1" applyAlignment="1" pivotButton="0" quotePrefix="0" xfId="0">
      <alignment vertical="center"/>
    </xf>
    <xf numFmtId="165" fontId="6" fillId="0" borderId="1" applyAlignment="1" pivotButton="0" quotePrefix="0" xfId="0">
      <alignment vertical="center"/>
    </xf>
    <xf numFmtId="166" fontId="6" fillId="0" borderId="1" applyAlignment="1" pivotButton="0" quotePrefix="0" xfId="0">
      <alignment vertical="center"/>
    </xf>
    <xf numFmtId="167" fontId="6" fillId="0" borderId="1" applyAlignment="1" pivotButton="0" quotePrefix="0" xfId="0">
      <alignment vertical="center"/>
    </xf>
    <xf numFmtId="168" fontId="6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54" customWidth="1" min="5" max="5"/>
  </cols>
  <sheetData>
    <row r="1" ht="24" customHeight="1">
      <c r="A1" s="1" t="inlineStr">
        <is>
          <t>What It Costs to Run</t>
        </is>
      </c>
    </row>
    <row r="2">
      <c r="A2" s="2" t="inlineStr">
        <is>
          <t>One deployment: five always-running job workers, a web/API tier, one set of storage. Infrastructure only - the model API is costed in cloud-architecture.xlsx.</t>
        </is>
      </c>
    </row>
    <row r="3" ht="6" customHeight="1"/>
    <row r="4" ht="30" customHeight="1">
      <c r="A4" s="3" t="inlineStr"/>
      <c r="B4" s="4" t="inlineStr">
        <is>
          <t>Typical
$ / month</t>
        </is>
      </c>
      <c r="C4" s="4" t="inlineStr">
        <is>
          <t>Peak
$ / month</t>
        </is>
      </c>
      <c r="D4" s="4" t="inlineStr">
        <is>
          <t>Typical
$ / year</t>
        </is>
      </c>
      <c r="E4" s="3" t="inlineStr"/>
    </row>
    <row r="5">
      <c r="A5" s="5" t="inlineStr">
        <is>
          <t>A.  Fargate, all on-demand</t>
        </is>
      </c>
      <c r="B5" s="6">
        <f>'Compute - EC2 vs Fargate'!C11</f>
        <v/>
      </c>
      <c r="C5" s="6">
        <f>'Compute - EC2 vs Fargate'!D11</f>
        <v/>
      </c>
      <c r="D5" s="6">
        <f>B5*12</f>
        <v/>
      </c>
      <c r="E5" s="7" t="inlineStr">
        <is>
          <t>Simplest. No servers to run.</t>
        </is>
      </c>
    </row>
    <row r="6">
      <c r="A6" s="8" t="inlineStr">
        <is>
          <t>B.  Fargate, workers on Spot</t>
        </is>
      </c>
      <c r="B6" s="9">
        <f>'Compute - EC2 vs Fargate'!C15</f>
        <v/>
      </c>
      <c r="C6" s="9">
        <f>'Compute - EC2 vs Fargate'!D15</f>
        <v/>
      </c>
      <c r="D6" s="9">
        <f>B6*12</f>
        <v/>
      </c>
      <c r="E6" s="10" t="inlineStr">
        <is>
          <t>Workers on spare capacity at about 70% off.</t>
        </is>
      </c>
    </row>
    <row r="7">
      <c r="A7" s="5" t="inlineStr">
        <is>
          <t>C.  ECS on EC2</t>
        </is>
      </c>
      <c r="B7" s="6">
        <f>'Compute - EC2 vs Fargate'!C20</f>
        <v/>
      </c>
      <c r="C7" s="6">
        <f>'Compute - EC2 vs Fargate'!D20</f>
        <v/>
      </c>
      <c r="D7" s="6">
        <f>B7*12</f>
        <v/>
      </c>
      <c r="E7" s="7" t="inlineStr">
        <is>
          <t>Whole machines. Cheaper only when kept busy.</t>
        </is>
      </c>
    </row>
    <row r="8" ht="6" customHeight="1"/>
    <row r="9">
      <c r="A9" s="5" t="inlineStr">
        <is>
          <t>Storage</t>
        </is>
      </c>
      <c r="B9" s="11">
        <f>Storage!C7</f>
        <v/>
      </c>
      <c r="C9" s="11">
        <f>Storage!C7</f>
        <v/>
      </c>
      <c r="D9" s="6">
        <f>B9*12</f>
        <v/>
      </c>
      <c r="E9" s="7" t="inlineStr">
        <is>
          <t>Document store at today's 500 MB, plus the file store.</t>
        </is>
      </c>
    </row>
    <row r="10">
      <c r="A10" s="5" t="inlineStr">
        <is>
          <t>Other cloud infrastructure</t>
        </is>
      </c>
      <c r="B10" s="6">
        <f>'Other cloud infra'!C11</f>
        <v/>
      </c>
      <c r="C10" s="6">
        <f>'Other cloud infra'!C11</f>
        <v/>
      </c>
      <c r="D10" s="6">
        <f>B10*12</f>
        <v/>
      </c>
      <c r="E10" s="7" t="inlineStr">
        <is>
          <t>Load balancer, egress, logs, backup, registry.</t>
        </is>
      </c>
    </row>
    <row r="11" ht="6" customHeight="1"/>
    <row r="12" ht="20" customHeight="1">
      <c r="A12" s="12" t="inlineStr">
        <is>
          <t>TOTAL with option A   (Fargate on-demand)</t>
        </is>
      </c>
      <c r="B12" s="13">
        <f>B5+B9+B10</f>
        <v/>
      </c>
      <c r="C12" s="13">
        <f>C5+C9+C10</f>
        <v/>
      </c>
      <c r="D12" s="13">
        <f>B12*12</f>
        <v/>
      </c>
      <c r="E12" s="12" t="inlineStr"/>
    </row>
    <row r="13" ht="20" customHeight="1">
      <c r="A13" s="10" t="inlineStr">
        <is>
          <t>TOTAL with option B   (Fargate + Spot workers)</t>
        </is>
      </c>
      <c r="B13" s="9">
        <f>B6+B9+B10</f>
        <v/>
      </c>
      <c r="C13" s="9">
        <f>C6+C9+C10</f>
        <v/>
      </c>
      <c r="D13" s="9">
        <f>B13*12</f>
        <v/>
      </c>
      <c r="E13" s="10" t="inlineStr">
        <is>
          <t>RECOMMENDED</t>
        </is>
      </c>
    </row>
    <row r="14" ht="20" customHeight="1">
      <c r="A14" s="12" t="inlineStr">
        <is>
          <t>TOTAL with option C   (ECS on EC2)</t>
        </is>
      </c>
      <c r="B14" s="13">
        <f>B7+B9+B10</f>
        <v/>
      </c>
      <c r="C14" s="13">
        <f>C7+C9+C10</f>
        <v/>
      </c>
      <c r="D14" s="13">
        <f>B14*12</f>
        <v/>
      </c>
      <c r="E14" s="12" t="inlineStr"/>
    </row>
    <row r="15" ht="6" customHeight="1"/>
    <row r="16" ht="20" customHeight="1">
      <c r="A16" s="3" t="inlineStr">
        <is>
          <t>RECOMMENDATION</t>
        </is>
      </c>
      <c r="B16" s="3" t="inlineStr"/>
      <c r="C16" s="3" t="inlineStr"/>
      <c r="D16" s="3" t="inlineStr"/>
      <c r="E16" s="3" t="inlineStr"/>
    </row>
    <row r="17">
      <c r="A17" s="14" t="inlineStr">
        <is>
          <t>Fargate, with the five job workers on Spot capacity.</t>
        </is>
      </c>
    </row>
    <row r="18">
      <c r="A18" s="15" t="inlineStr">
        <is>
          <t>The five always-on workers are the biggest compute line, and Spot cuts them by about 70% - a bigger saving than any</t>
        </is>
      </c>
      <c r="B18" s="16" t="inlineStr"/>
      <c r="C18" s="16" t="inlineStr"/>
      <c r="D18" s="16" t="inlineStr"/>
      <c r="E18" s="16" t="inlineStr"/>
    </row>
    <row r="19">
      <c r="A19" s="15" t="inlineStr">
        <is>
          <t>choice between EC2 and Fargate. An interrupted job goes back on the queue and another worker picks it up, which the</t>
        </is>
      </c>
      <c r="B19" s="16" t="inlineStr"/>
      <c r="C19" s="16" t="inlineStr"/>
      <c r="D19" s="16" t="inlineStr"/>
      <c r="E19" s="16" t="inlineStr"/>
    </row>
    <row r="20">
      <c r="A20" s="15" t="inlineStr">
        <is>
          <t>queue already does anyway, so nothing has to be designed for it.</t>
        </is>
      </c>
      <c r="B20" s="16" t="inlineStr"/>
      <c r="C20" s="16" t="inlineStr"/>
      <c r="D20" s="16" t="inlineStr"/>
      <c r="E20" s="16" t="inlineStr"/>
    </row>
    <row r="21">
      <c r="A21" s="15" t="inlineStr">
        <is>
          <t>The web containers stay on-demand, because an interrupted web request is visible to somebody.</t>
        </is>
      </c>
      <c r="B21" s="16" t="inlineStr"/>
      <c r="C21" s="16" t="inlineStr"/>
      <c r="D21" s="16" t="inlineStr"/>
      <c r="E21" s="16" t="inlineStr"/>
    </row>
    <row r="22">
      <c r="A22" s="15" t="inlineStr">
        <is>
          <t>EC2 loses because the platform needs 6 cores and the smallest build that survives losing a node buys 12. Revisit it</t>
        </is>
      </c>
      <c r="B22" s="16" t="inlineStr"/>
      <c r="C22" s="16" t="inlineStr"/>
      <c r="D22" s="16" t="inlineStr"/>
      <c r="E22" s="16" t="inlineStr"/>
    </row>
    <row r="23">
      <c r="A23" s="15" t="inlineStr">
        <is>
          <t>only when the machines would be kept genuinely busy - that is a utilisation question, not a headcount one.</t>
        </is>
      </c>
      <c r="B23" s="16" t="inlineStr"/>
      <c r="C23" s="16" t="inlineStr"/>
      <c r="D23" s="16" t="inlineStr"/>
      <c r="E23" s="16" t="inlineStr"/>
    </row>
    <row r="24" ht="6" customHeight="1"/>
    <row r="25">
      <c r="A25" s="17" t="inlineStr">
        <is>
          <t>Prices are us-east-1 list prices, copied by hand, and will go stale. Hosting in the UAE adds roughly 15-20%. Check before quoting.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16" customWidth="1" min="3" max="3"/>
    <col width="16" customWidth="1" min="4" max="4"/>
    <col width="66" customWidth="1" min="5" max="5"/>
  </cols>
  <sheetData>
    <row r="1" ht="24" customHeight="1">
      <c r="A1" s="1" t="inlineStr">
        <is>
          <t>Compute: EC2 vs Fargate</t>
        </is>
      </c>
    </row>
    <row r="2">
      <c r="A2" s="2" t="inlineStr">
        <is>
          <t>The same workload priced three ways. Five job workers run at all times either way; only the web tier changes between typical and peak.</t>
        </is>
      </c>
    </row>
    <row r="3" ht="6" customHeight="1"/>
    <row r="4" ht="20" customHeight="1">
      <c r="A4" s="3" t="inlineStr">
        <is>
          <t>WHAT HAS TO RUN</t>
        </is>
      </c>
      <c r="B4" s="3" t="inlineStr"/>
      <c r="C4" s="4" t="inlineStr">
        <is>
          <t>Typical</t>
        </is>
      </c>
      <c r="D4" s="4" t="inlineStr">
        <is>
          <t>Peak</t>
        </is>
      </c>
      <c r="E4" s="3" t="inlineStr"/>
    </row>
    <row r="5">
      <c r="A5" s="5" t="inlineStr">
        <is>
          <t>Job workers (always on)</t>
        </is>
      </c>
      <c r="B5" s="7" t="inlineStr">
        <is>
          <t>The five instances - unchanged in both columns</t>
        </is>
      </c>
      <c r="C5" s="18">
        <f>Assumptions!$B$10</f>
        <v/>
      </c>
      <c r="D5" s="18">
        <f>Assumptions!$B$10</f>
        <v/>
      </c>
      <c r="E5" s="7" t="inlineStr">
        <is>
          <t>containers</t>
        </is>
      </c>
    </row>
    <row r="6">
      <c r="A6" s="5" t="inlineStr">
        <is>
          <t>Web/API containers</t>
        </is>
      </c>
      <c r="B6" s="7" t="inlineStr">
        <is>
          <t>Scales with how many people are on the screens</t>
        </is>
      </c>
      <c r="C6" s="18">
        <f>Assumptions!$B$15</f>
        <v/>
      </c>
      <c r="D6" s="18">
        <f>Assumptions!$B$16</f>
        <v/>
      </c>
      <c r="E6" s="7" t="inlineStr">
        <is>
          <t>containers</t>
        </is>
      </c>
    </row>
    <row r="7">
      <c r="A7" s="5" t="inlineStr">
        <is>
          <t>Processor demand</t>
        </is>
      </c>
      <c r="B7" s="7" t="inlineStr"/>
      <c r="C7" s="19">
        <f>(Assumptions!$B$10*Assumptions!$B$11+Assumptions!$B$15*Assumptions!$B$17)</f>
        <v/>
      </c>
      <c r="D7" s="19">
        <f>(Assumptions!$B$10*Assumptions!$B$11+Assumptions!$B$16*Assumptions!$B$19)</f>
        <v/>
      </c>
      <c r="E7" s="7" t="inlineStr">
        <is>
          <t>cores</t>
        </is>
      </c>
    </row>
    <row r="8">
      <c r="A8" s="5" t="inlineStr">
        <is>
          <t>Memory demand</t>
        </is>
      </c>
      <c r="B8" s="7" t="inlineStr"/>
      <c r="C8" s="19">
        <f>(Assumptions!$B$10*Assumptions!$B$12+Assumptions!$B$15*Assumptions!$B$18)</f>
        <v/>
      </c>
      <c r="D8" s="19">
        <f>(Assumptions!$B$10*Assumptions!$B$12+Assumptions!$B$16*Assumptions!$B$20)</f>
        <v/>
      </c>
      <c r="E8" s="7" t="inlineStr">
        <is>
          <t>GB</t>
        </is>
      </c>
    </row>
    <row r="9" ht="6" customHeight="1"/>
    <row r="10" ht="30" customHeight="1">
      <c r="A10" s="3" t="inlineStr">
        <is>
          <t>OPTION</t>
        </is>
      </c>
      <c r="B10" s="3" t="inlineStr">
        <is>
          <t>How it is worked out</t>
        </is>
      </c>
      <c r="C10" s="4" t="inlineStr">
        <is>
          <t>Typical
$ / month</t>
        </is>
      </c>
      <c r="D10" s="4" t="inlineStr">
        <is>
          <t>Peak
$ / month</t>
        </is>
      </c>
      <c r="E10" s="3" t="inlineStr">
        <is>
          <t>Note</t>
        </is>
      </c>
    </row>
    <row r="11" ht="20" customHeight="1">
      <c r="A11" s="20" t="inlineStr">
        <is>
          <t>A.  Fargate, all on-demand</t>
        </is>
      </c>
      <c r="B11" s="20" t="inlineStr"/>
      <c r="C11" s="21">
        <f>C12+C13</f>
        <v/>
      </c>
      <c r="D11" s="21">
        <f>D12+D13</f>
        <v/>
      </c>
      <c r="E11" s="20" t="inlineStr">
        <is>
          <t>Pay per container-second. No servers to run.</t>
        </is>
      </c>
    </row>
    <row r="12">
      <c r="A12" s="5" t="inlineStr">
        <is>
          <t>Five job workers</t>
        </is>
      </c>
      <c r="B12" s="7">
        <f>Assumptions!$B$10&amp;" containers x "&amp;Assumptions!$B$11&amp;" core / "&amp;Assumptions!$B$12&amp;" GB x "&amp;Assumptions!$B$6&amp;" hours"</f>
        <v/>
      </c>
      <c r="C12" s="11">
        <f>(Assumptions!$B$10*(Assumptions!$B$11*Assumptions!$B$28+Assumptions!$B$12*Assumptions!$B$29)*Assumptions!$B$6)</f>
        <v/>
      </c>
      <c r="D12" s="11">
        <f>(Assumptions!$B$10*(Assumptions!$B$11*Assumptions!$B$28+Assumptions!$B$12*Assumptions!$B$29)*Assumptions!$B$6)</f>
        <v/>
      </c>
      <c r="E12" s="7" t="inlineStr">
        <is>
          <t>Identical in both columns - they are always on.</t>
        </is>
      </c>
    </row>
    <row r="13">
      <c r="A13" s="5" t="inlineStr">
        <is>
          <t>Web/API containers</t>
        </is>
      </c>
      <c r="B13" s="7">
        <f>Assumptions!$B$15&amp;" typical, "&amp;Assumptions!$B$16&amp;" at peak"</f>
        <v/>
      </c>
      <c r="C13" s="11">
        <f>(Assumptions!$B$15*(Assumptions!$B$17*Assumptions!$B$28+Assumptions!$B$18*Assumptions!$B$29)*Assumptions!$B$6)</f>
        <v/>
      </c>
      <c r="D13" s="11">
        <f>(Assumptions!$B$16*(Assumptions!$B$19*Assumptions!$B$28+Assumptions!$B$20*Assumptions!$B$29)*Assumptions!$B$6)</f>
        <v/>
      </c>
      <c r="E13" s="7" t="inlineStr">
        <is>
          <t>The only compute line that moves.</t>
        </is>
      </c>
    </row>
    <row r="14" ht="6" customHeight="1"/>
    <row r="15" ht="20" customHeight="1">
      <c r="A15" s="20" t="inlineStr">
        <is>
          <t>B.  Fargate, workers on Spot</t>
        </is>
      </c>
      <c r="B15" s="20" t="inlineStr"/>
      <c r="C15" s="21">
        <f>C16+C17</f>
        <v/>
      </c>
      <c r="D15" s="21">
        <f>D16+D17</f>
        <v/>
      </c>
      <c r="E15" s="20" t="inlineStr">
        <is>
          <t>Workers run on spare capacity at about 70% off.</t>
        </is>
      </c>
    </row>
    <row r="16">
      <c r="A16" s="5" t="inlineStr">
        <is>
          <t>Five job workers (Spot)</t>
        </is>
      </c>
      <c r="B16" s="7" t="inlineStr">
        <is>
          <t>An interrupted job returns to the queue and another worker takes it</t>
        </is>
      </c>
      <c r="C16" s="11">
        <f>(Assumptions!$B$10*(Assumptions!$B$11*Assumptions!$B$30+Assumptions!$B$12*Assumptions!$B$31)*Assumptions!$B$6)</f>
        <v/>
      </c>
      <c r="D16" s="11">
        <f>(Assumptions!$B$10*(Assumptions!$B$11*Assumptions!$B$30+Assumptions!$B$12*Assumptions!$B$31)*Assumptions!$B$6)</f>
        <v/>
      </c>
      <c r="E16" s="7" t="inlineStr">
        <is>
          <t>The queue already redelivers, so this costs nothing in design.</t>
        </is>
      </c>
    </row>
    <row r="17">
      <c r="A17" s="5" t="inlineStr">
        <is>
          <t>Web/API containers</t>
        </is>
      </c>
      <c r="B17" s="7" t="inlineStr">
        <is>
          <t>On-demand - an interrupted web request is visible to somebody</t>
        </is>
      </c>
      <c r="C17" s="11">
        <f>C13</f>
        <v/>
      </c>
      <c r="D17" s="11">
        <f>D13</f>
        <v/>
      </c>
      <c r="E17" s="7" t="inlineStr"/>
    </row>
    <row r="18">
      <c r="A18" s="22" t="inlineStr">
        <is>
          <t>Saving against option A</t>
        </is>
      </c>
      <c r="B18" s="23" t="inlineStr"/>
      <c r="C18" s="24">
        <f>C15-C11</f>
        <v/>
      </c>
      <c r="D18" s="24">
        <f>D15-D11</f>
        <v/>
      </c>
      <c r="E18" s="23" t="inlineStr">
        <is>
          <t>Negative is cheaper.</t>
        </is>
      </c>
    </row>
    <row r="19" ht="6" customHeight="1"/>
    <row r="20" ht="20" customHeight="1">
      <c r="A20" s="20" t="inlineStr">
        <is>
          <t>C.  ECS on EC2</t>
        </is>
      </c>
      <c r="B20" s="20" t="inlineStr"/>
      <c r="C20" s="21">
        <f>C21+C22</f>
        <v/>
      </c>
      <c r="D20" s="21">
        <f>D21+D22</f>
        <v/>
      </c>
      <c r="E20" s="20" t="inlineStr">
        <is>
          <t>You rent whole machines and pack containers onto them.</t>
        </is>
      </c>
    </row>
    <row r="21">
      <c r="A21" s="5" t="inlineStr">
        <is>
          <t>m7g.xlarge nodes</t>
        </is>
      </c>
      <c r="B21" s="7">
        <f>Assumptions!$B$37&amp;" nodes x $"&amp;Assumptions!$B$34&amp;" per hour"</f>
        <v/>
      </c>
      <c r="C21" s="11">
        <f>Assumptions!$B$37*Assumptions!$B$34*Assumptions!$B$6</f>
        <v/>
      </c>
      <c r="D21" s="11">
        <f>Assumptions!$B$38*Assumptions!$B$34*Assumptions!$B$6</f>
        <v/>
      </c>
      <c r="E21" s="7" t="inlineStr">
        <is>
          <t>Charged whole, all month, whether containers use them or not.</t>
        </is>
      </c>
    </row>
    <row r="22">
      <c r="A22" s="5" t="inlineStr">
        <is>
          <t>Disk for those nodes</t>
        </is>
      </c>
      <c r="B22" s="7">
        <f>Assumptions!$B$25&amp;" GB per node"</f>
        <v/>
      </c>
      <c r="C22" s="11">
        <f>Assumptions!$B$37*Assumptions!$B$25*Assumptions!$B$39</f>
        <v/>
      </c>
      <c r="D22" s="11">
        <f>Assumptions!$B$38*Assumptions!$B$25*Assumptions!$B$39</f>
        <v/>
      </c>
      <c r="E22" s="7" t="inlineStr">
        <is>
          <t>Fargate needs no equivalent.</t>
        </is>
      </c>
    </row>
    <row r="23">
      <c r="A23" s="15" t="inlineStr">
        <is>
          <t>Processor capacity bought</t>
        </is>
      </c>
      <c r="B23" s="16" t="inlineStr"/>
      <c r="C23" s="25">
        <f>Assumptions!$B$37*Assumptions!$B$35</f>
        <v/>
      </c>
      <c r="D23" s="25">
        <f>Assumptions!$B$38*Assumptions!$B$35</f>
        <v/>
      </c>
      <c r="E23" s="16" t="inlineStr">
        <is>
          <t>cores</t>
        </is>
      </c>
    </row>
    <row r="24">
      <c r="A24" s="15" t="inlineStr">
        <is>
          <t>Processor capacity actually needed</t>
        </is>
      </c>
      <c r="B24" s="16" t="inlineStr"/>
      <c r="C24" s="25">
        <f>(Assumptions!$B$10*Assumptions!$B$11+Assumptions!$B$15*Assumptions!$B$17)</f>
        <v/>
      </c>
      <c r="D24" s="25">
        <f>(Assumptions!$B$10*Assumptions!$B$11+Assumptions!$B$16*Assumptions!$B$19)</f>
        <v/>
      </c>
      <c r="E24" s="16" t="inlineStr">
        <is>
          <t>cores</t>
        </is>
      </c>
    </row>
    <row r="25">
      <c r="A25" s="26" t="inlineStr">
        <is>
          <t>Paid for and unused</t>
        </is>
      </c>
      <c r="B25" s="27" t="inlineStr"/>
      <c r="C25" s="28">
        <f>C23/C24-1</f>
        <v/>
      </c>
      <c r="D25" s="28">
        <f>D23/D24-1</f>
        <v/>
      </c>
      <c r="E25" s="27" t="inlineStr">
        <is>
          <t>A node has to be spare, or losing one takes the platform down.</t>
        </is>
      </c>
    </row>
    <row r="26">
      <c r="A26" s="29" t="inlineStr">
        <is>
          <t>Difference against option A</t>
        </is>
      </c>
      <c r="B26" s="30" t="inlineStr"/>
      <c r="C26" s="31">
        <f>C20-C11</f>
        <v/>
      </c>
      <c r="D26" s="31">
        <f>D20-D11</f>
        <v/>
      </c>
      <c r="E26" s="30" t="inlineStr">
        <is>
          <t>Negative is cheaper.</t>
        </is>
      </c>
    </row>
    <row r="27" ht="6" customHeight="1"/>
    <row r="28" ht="20" customHeight="1">
      <c r="A28" s="3" t="inlineStr">
        <is>
          <t>VERDICT</t>
        </is>
      </c>
      <c r="B28" s="3" t="inlineStr"/>
      <c r="C28" s="3" t="inlineStr"/>
      <c r="D28" s="3" t="inlineStr"/>
      <c r="E28" s="3" t="inlineStr"/>
    </row>
    <row r="29">
      <c r="A29" s="8" t="inlineStr">
        <is>
          <t>Cheapest in a typical month</t>
        </is>
      </c>
      <c r="B29" s="10" t="inlineStr"/>
      <c r="C29" s="9">
        <f>MIN(C11,C15,C20)</f>
        <v/>
      </c>
      <c r="D29" s="10" t="inlineStr"/>
      <c r="E29" s="10">
        <f>IF(C15&lt;=MIN(C11,C20),"Option B - Fargate with Spot workers",IF(C20&lt;C11,"Option C - ECS on EC2","Option A - Fargate on-demand"))</f>
        <v/>
      </c>
    </row>
    <row r="30">
      <c r="A30" s="8" t="inlineStr">
        <is>
          <t>Cheapest at peak</t>
        </is>
      </c>
      <c r="B30" s="10" t="inlineStr"/>
      <c r="C30" s="9">
        <f>MIN(D11,D15,D20)</f>
        <v/>
      </c>
      <c r="D30" s="10" t="inlineStr"/>
      <c r="E30" s="10">
        <f>IF(D15&lt;=MIN(D11,D20),"Option B - Fargate with Spot workers",IF(D20&lt;D11,"Option C - ECS on EC2","Option A - Fargate on-demand"))</f>
        <v/>
      </c>
    </row>
    <row r="31" ht="6" customHeight="1"/>
    <row r="32">
      <c r="A32" s="2" t="inlineStr">
        <is>
          <t>Why EC2 does not win: the platform needs 6 cores, and the smallest EC2 build that survives losing a node buys 12.</t>
        </is>
      </c>
      <c r="B32" s="2" t="inlineStr"/>
      <c r="C32" s="2" t="inlineStr"/>
      <c r="D32" s="2" t="inlineStr"/>
      <c r="E32" s="2" t="inlineStr"/>
    </row>
    <row r="33">
      <c r="A33" s="2" t="inlineStr">
        <is>
          <t>Fargate bills per container, so it buys exactly what runs. EC2 only pulls ahead once the machines are kept genuinely busy.</t>
        </is>
      </c>
      <c r="B33" s="2" t="inlineStr"/>
      <c r="C33" s="2" t="inlineStr"/>
      <c r="D33" s="2" t="inlineStr"/>
      <c r="E33" s="2" t="inlineStr"/>
    </row>
    <row r="34">
      <c r="A34" s="2" t="inlineStr">
        <is>
          <t>EC2 also brings work Fargate does not: patching the operating system, draining nodes on deploy, and scaling machines as well as containers.</t>
        </is>
      </c>
      <c r="B34" s="2" t="inlineStr"/>
      <c r="C34" s="2" t="inlineStr"/>
      <c r="D34" s="2" t="inlineStr"/>
      <c r="E34" s="2" t="inlineStr"/>
    </row>
    <row r="35">
      <c r="A35" s="2" t="inlineStr">
        <is>
          <t>Spot is the real saving here. Five always-on workers are the largest compute line, and they are exactly the workload Spot suits.</t>
        </is>
      </c>
      <c r="B35" s="2" t="inlineStr"/>
      <c r="C35" s="2" t="inlineStr"/>
      <c r="D35" s="2" t="inlineStr"/>
      <c r="E3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30" customWidth="1" min="3" max="3"/>
    <col width="8" customWidth="1" min="4" max="4"/>
    <col width="46" customWidth="1" min="5" max="5"/>
  </cols>
  <sheetData>
    <row r="1" ht="24" customHeight="1">
      <c r="A1" s="1" t="inlineStr">
        <is>
          <t>Storage</t>
        </is>
      </c>
    </row>
    <row r="2">
      <c r="A2" s="2" t="inlineStr">
        <is>
          <t>One set for the whole platform. The document store holds the RFQ paperwork; the file store holds the system's own records.</t>
        </is>
      </c>
    </row>
    <row r="3" ht="6" customHeight="1"/>
    <row r="4" ht="20" customHeight="1">
      <c r="A4" s="3" t="inlineStr"/>
      <c r="B4" s="3" t="inlineStr"/>
      <c r="C4" s="4" t="inlineStr">
        <is>
          <t>$ / month</t>
        </is>
      </c>
      <c r="D4" s="3" t="inlineStr"/>
      <c r="E4" s="3" t="inlineStr"/>
    </row>
    <row r="5">
      <c r="A5" s="5" t="inlineStr">
        <is>
          <t>Document store - the RFQ paperwork</t>
        </is>
      </c>
      <c r="B5" s="7">
        <f>Assumptions!$B$23&amp;" GB x $"&amp;Assumptions!$B$42&amp;" per GB"</f>
        <v/>
      </c>
      <c r="C5" s="11">
        <f>Assumptions!$B$23*Assumptions!$B$42</f>
        <v/>
      </c>
      <c r="D5" s="7" t="inlineStr"/>
      <c r="E5" s="7" t="inlineStr">
        <is>
          <t>S3 Standard</t>
        </is>
      </c>
    </row>
    <row r="6">
      <c r="A6" s="5" t="inlineStr">
        <is>
          <t>System file store</t>
        </is>
      </c>
      <c r="B6" s="7">
        <f>Assumptions!$B$24&amp;" GB x $"&amp;Assumptions!$B$43&amp;" per GB"</f>
        <v/>
      </c>
      <c r="C6" s="11">
        <f>Assumptions!$B$24*Assumptions!$B$43</f>
        <v/>
      </c>
      <c r="D6" s="7" t="inlineStr"/>
      <c r="E6" s="7" t="inlineStr">
        <is>
          <t>EFS - accounts, workflow, bidder registry</t>
        </is>
      </c>
    </row>
    <row r="7">
      <c r="A7" s="12" t="inlineStr">
        <is>
          <t>Storage total</t>
        </is>
      </c>
      <c r="B7" s="12" t="inlineStr"/>
      <c r="C7" s="32">
        <f>C5+C6</f>
        <v/>
      </c>
      <c r="D7" s="12" t="inlineStr"/>
      <c r="E7" s="12" t="inlineStr"/>
    </row>
    <row r="8" ht="6" customHeight="1"/>
    <row r="9" ht="20" customHeight="1">
      <c r="A9" s="3" t="inlineStr">
        <is>
          <t>A NOTE ON 500 MB</t>
        </is>
      </c>
      <c r="B9" s="3" t="inlineStr"/>
      <c r="C9" s="3" t="inlineStr"/>
      <c r="D9" s="3" t="inlineStr"/>
      <c r="E9" s="3" t="inlineStr"/>
    </row>
    <row r="10">
      <c r="A10" s="33" t="inlineStr">
        <is>
          <t>500 MB is roughly 11 tenders - one tender's documents in the reference corpus measured 44 MB.</t>
        </is>
      </c>
      <c r="B10" s="34" t="inlineStr"/>
      <c r="C10" s="34" t="inlineStr"/>
      <c r="D10" s="34" t="inlineStr"/>
      <c r="E10" s="34" t="inlineStr"/>
    </row>
    <row r="11">
      <c r="A11" s="33" t="inlineStr">
        <is>
          <t>At 500 MB of paperwork arriving each week, the store passes 500 MB in week one and reaches about 26 GB after a year.</t>
        </is>
      </c>
      <c r="B11" s="34" t="inlineStr"/>
      <c r="C11" s="34" t="inlineStr"/>
      <c r="D11" s="34" t="inlineStr"/>
      <c r="E11" s="34" t="inlineStr"/>
    </row>
    <row r="12">
      <c r="A12" s="33" t="inlineStr">
        <is>
          <t>The table below is the figure to budget against. Document storage is not where the money goes - compute is.</t>
        </is>
      </c>
      <c r="B12" s="34" t="inlineStr"/>
      <c r="C12" s="34" t="inlineStr"/>
      <c r="D12" s="34" t="inlineStr"/>
      <c r="E12" s="34" t="inlineStr"/>
    </row>
    <row r="13" ht="6" customHeight="1"/>
    <row r="14" ht="20" customHeight="1">
      <c r="A14" s="3" t="inlineStr">
        <is>
          <t>IF THE DOCUMENT STORE GROWS TO...</t>
        </is>
      </c>
      <c r="B14" s="4" t="inlineStr">
        <is>
          <t>$ / month</t>
        </is>
      </c>
      <c r="C14" s="4" t="inlineStr">
        <is>
          <t>Share of a typical month's bill</t>
        </is>
      </c>
      <c r="D14" s="3" t="inlineStr"/>
      <c r="E14" s="3" t="inlineStr"/>
    </row>
    <row r="15">
      <c r="A15" s="5" t="inlineStr">
        <is>
          <t>500 MB   (today's figure)</t>
        </is>
      </c>
      <c r="B15" s="11">
        <f>0.5*Assumptions!$B$42</f>
        <v/>
      </c>
      <c r="C15" s="35">
        <f>0.5*Assumptions!$B$42/Summary!$B$13</f>
        <v/>
      </c>
      <c r="D15" s="7" t="inlineStr"/>
      <c r="E15" s="7" t="inlineStr"/>
    </row>
    <row r="16">
      <c r="A16" s="5" t="inlineStr">
        <is>
          <t>5 GB</t>
        </is>
      </c>
      <c r="B16" s="11">
        <f>5*Assumptions!$B$42</f>
        <v/>
      </c>
      <c r="C16" s="35">
        <f>5*Assumptions!$B$42/Summary!$B$13</f>
        <v/>
      </c>
      <c r="D16" s="7" t="inlineStr"/>
      <c r="E16" s="7" t="inlineStr"/>
    </row>
    <row r="17">
      <c r="A17" s="5" t="inlineStr">
        <is>
          <t>26 GB   (one year at 500 MB/week)</t>
        </is>
      </c>
      <c r="B17" s="11">
        <f>26*Assumptions!$B$42</f>
        <v/>
      </c>
      <c r="C17" s="35">
        <f>26*Assumptions!$B$42/Summary!$B$13</f>
        <v/>
      </c>
      <c r="D17" s="7" t="inlineStr"/>
      <c r="E17" s="7" t="inlineStr"/>
    </row>
    <row r="18">
      <c r="A18" s="5" t="inlineStr">
        <is>
          <t>100 GB</t>
        </is>
      </c>
      <c r="B18" s="11">
        <f>100*Assumptions!$B$42</f>
        <v/>
      </c>
      <c r="C18" s="35">
        <f>100*Assumptions!$B$42/Summary!$B$13</f>
        <v/>
      </c>
      <c r="D18" s="7" t="inlineStr"/>
      <c r="E18" s="7" t="inlineStr"/>
    </row>
    <row r="19">
      <c r="A19" s="5" t="inlineStr">
        <is>
          <t>500 GB</t>
        </is>
      </c>
      <c r="B19" s="11">
        <f>500*Assumptions!$B$42</f>
        <v/>
      </c>
      <c r="C19" s="35">
        <f>500*Assumptions!$B$42/Summary!$B$13</f>
        <v/>
      </c>
      <c r="D19" s="7" t="inlineStr"/>
      <c r="E19" s="7" t="inlineStr"/>
    </row>
    <row r="20">
      <c r="A20" s="5" t="inlineStr">
        <is>
          <t>1 TB</t>
        </is>
      </c>
      <c r="B20" s="11">
        <f>1024*Assumptions!$B$42</f>
        <v/>
      </c>
      <c r="C20" s="35">
        <f>1024*Assumptions!$B$42/Summary!$B$13</f>
        <v/>
      </c>
      <c r="D20" s="7" t="inlineStr"/>
      <c r="E20" s="7" t="inlineStr"/>
    </row>
    <row r="21">
      <c r="A21" s="5" t="inlineStr">
        <is>
          <t>5 TB</t>
        </is>
      </c>
      <c r="B21" s="11">
        <f>5120*Assumptions!$B$42</f>
        <v/>
      </c>
      <c r="C21" s="35">
        <f>5120*Assumptions!$B$42/Summary!$B$13</f>
        <v/>
      </c>
      <c r="D21" s="7" t="inlineStr"/>
      <c r="E21" s="7" t="inlineStr"/>
    </row>
    <row r="22" ht="6" customHeight="1"/>
    <row r="23">
      <c r="A23" s="2" t="inlineStr">
        <is>
          <t>Even at 5 TB, document storage costs less per month than the load balancer.</t>
        </is>
      </c>
    </row>
    <row r="24">
      <c r="A24" s="2" t="inlineStr">
        <is>
          <t>S3 charges only for what is stored, so there is no capacity to buy up front and nothing to resize later.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78" customWidth="1" min="2" max="2"/>
    <col width="16" customWidth="1" min="3" max="3"/>
    <col width="10" customWidth="1" min="4" max="4"/>
  </cols>
  <sheetData>
    <row r="1" ht="24" customHeight="1">
      <c r="A1" s="1" t="inlineStr">
        <is>
          <t>Other Cloud Infrastructure</t>
        </is>
      </c>
    </row>
    <row r="2">
      <c r="A2" s="2" t="inlineStr">
        <is>
          <t>Supporting services. One of each for the whole platform - none of it scales with users.</t>
        </is>
      </c>
    </row>
    <row r="3" ht="6" customHeight="1"/>
    <row r="4" ht="20" customHeight="1">
      <c r="A4" s="3" t="inlineStr">
        <is>
          <t>Component</t>
        </is>
      </c>
      <c r="B4" s="3" t="inlineStr">
        <is>
          <t>What it does</t>
        </is>
      </c>
      <c r="C4" s="4" t="inlineStr">
        <is>
          <t>$ / month</t>
        </is>
      </c>
      <c r="D4" s="3" t="inlineStr"/>
    </row>
    <row r="5">
      <c r="A5" s="5" t="inlineStr">
        <is>
          <t>Load balancer</t>
        </is>
      </c>
      <c r="B5" s="7" t="inlineStr">
        <is>
          <t>The single public entry point; sends each visitor to a healthy web container</t>
        </is>
      </c>
      <c r="C5" s="11">
        <f>Assumptions!$B$46</f>
        <v/>
      </c>
      <c r="D5" s="7" t="inlineStr"/>
    </row>
    <row r="6">
      <c r="A6" s="5" t="inlineStr">
        <is>
          <t>NAT Gateways x2</t>
        </is>
      </c>
      <c r="B6" s="7" t="inlineStr">
        <is>
          <t>Lets containers reach the model provider while staying unreachable from the internet</t>
        </is>
      </c>
      <c r="C6" s="11">
        <f>Assumptions!$B$47</f>
        <v/>
      </c>
      <c r="D6" s="7" t="inlineStr"/>
    </row>
    <row r="7">
      <c r="A7" s="5" t="inlineStr">
        <is>
          <t>VPC endpoints x8</t>
        </is>
      </c>
      <c r="B7" s="7" t="inlineStr">
        <is>
          <t>Private routes for image pulls, logs and secrets - keeps that traffic off the NAT</t>
        </is>
      </c>
      <c r="C7" s="11">
        <f>Assumptions!$B$48</f>
        <v/>
      </c>
      <c r="D7" s="7" t="inlineStr"/>
    </row>
    <row r="8">
      <c r="A8" s="5" t="inlineStr">
        <is>
          <t>Logs</t>
        </is>
      </c>
      <c r="B8" s="7" t="inlineStr">
        <is>
          <t>Application logs, access logs and job outcomes</t>
        </is>
      </c>
      <c r="C8" s="11">
        <f>Assumptions!$B$49</f>
        <v/>
      </c>
      <c r="D8" s="7" t="inlineStr"/>
    </row>
    <row r="9">
      <c r="A9" s="5" t="inlineStr">
        <is>
          <t>Backup and snapshots</t>
        </is>
      </c>
      <c r="B9" s="7" t="inlineStr">
        <is>
          <t>Scheduled copies of the file store. There is no second copy anywhere</t>
        </is>
      </c>
      <c r="C9" s="11">
        <f>Assumptions!$B$50</f>
        <v/>
      </c>
      <c r="D9" s="7" t="inlineStr"/>
    </row>
    <row r="10">
      <c r="A10" s="5" t="inlineStr">
        <is>
          <t>Registry, DNS, secrets, certificate, scheduler</t>
        </is>
      </c>
      <c r="B10" s="7" t="inlineStr">
        <is>
          <t>The plumbing - between them about two dollars a month</t>
        </is>
      </c>
      <c r="C10" s="11">
        <f>Assumptions!$B$51</f>
        <v/>
      </c>
      <c r="D10" s="7" t="inlineStr"/>
    </row>
    <row r="11">
      <c r="A11" s="12" t="inlineStr">
        <is>
          <t>Other infrastructure total</t>
        </is>
      </c>
      <c r="B11" s="12" t="inlineStr"/>
      <c r="C11" s="13">
        <f>SUM(C5:C10)</f>
        <v/>
      </c>
      <c r="D11" s="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56" customWidth="1" min="4" max="4"/>
  </cols>
  <sheetData>
    <row r="1" ht="24" customHeight="1">
      <c r="A1" s="1" t="inlineStr">
        <is>
          <t>Assumptions &amp; Rates</t>
        </is>
      </c>
    </row>
    <row r="2">
      <c r="A2" s="2" t="inlineStr">
        <is>
          <t>Every figure on the other tabs comes from here. Blue = change it.</t>
        </is>
      </c>
    </row>
    <row r="3" ht="6" customHeight="1"/>
    <row r="4" ht="20" customHeight="1">
      <c r="A4" s="3" t="inlineStr">
        <is>
          <t>Item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Basis</t>
        </is>
      </c>
    </row>
    <row r="5" ht="18" customHeight="1">
      <c r="A5" s="20" t="inlineStr">
        <is>
          <t>SCALE - one platform, one organisation</t>
        </is>
      </c>
      <c r="B5" s="20" t="inlineStr"/>
      <c r="C5" s="20" t="inlineStr"/>
      <c r="D5" s="20" t="inlineStr"/>
    </row>
    <row r="6">
      <c r="A6" s="36" t="inlineStr">
        <is>
          <t>Hours per month</t>
        </is>
      </c>
      <c r="B6" s="37" t="n">
        <v>730</v>
      </c>
      <c r="C6" s="38" t="inlineStr">
        <is>
          <t>hours</t>
        </is>
      </c>
      <c r="D6" s="39" t="inlineStr">
        <is>
          <t>365 x 24 / 12</t>
        </is>
      </c>
    </row>
    <row r="7">
      <c r="A7" s="36" t="inlineStr">
        <is>
          <t>People who can sign in</t>
        </is>
      </c>
      <c r="B7" s="37" t="n">
        <v>50</v>
      </c>
      <c r="C7" s="38" t="inlineStr">
        <is>
          <t>users</t>
        </is>
      </c>
      <c r="D7" s="39" t="inlineStr">
        <is>
          <t>Agreed</t>
        </is>
      </c>
    </row>
    <row r="8" ht="6" customHeight="1"/>
    <row r="9" ht="18" customHeight="1">
      <c r="A9" s="20" t="inlineStr">
        <is>
          <t>BACKEND JOB WORKERS - the five always-running instances</t>
        </is>
      </c>
      <c r="B9" s="20" t="inlineStr"/>
      <c r="C9" s="20" t="inlineStr"/>
      <c r="D9" s="20" t="inlineStr"/>
    </row>
    <row r="10">
      <c r="A10" s="36" t="inlineStr">
        <is>
          <t>Job workers running at all times</t>
        </is>
      </c>
      <c r="B10" s="37" t="n">
        <v>5</v>
      </c>
      <c r="C10" s="38" t="inlineStr">
        <is>
          <t>containers</t>
        </is>
      </c>
      <c r="D10" s="39" t="inlineStr">
        <is>
          <t>The requirement: five, always up</t>
        </is>
      </c>
    </row>
    <row r="11">
      <c r="A11" s="36" t="inlineStr">
        <is>
          <t>Processor cores per worker</t>
        </is>
      </c>
      <c r="B11" s="40" t="n">
        <v>1</v>
      </c>
      <c r="C11" s="38" t="inlineStr">
        <is>
          <t>vCPU</t>
        </is>
      </c>
      <c r="D11" s="39" t="inlineStr">
        <is>
          <t>Fixed at container start - cannot be resized while running</t>
        </is>
      </c>
    </row>
    <row r="12">
      <c r="A12" s="36" t="inlineStr">
        <is>
          <t>Memory per worker</t>
        </is>
      </c>
      <c r="B12" s="40" t="n">
        <v>4</v>
      </c>
      <c r="C12" s="38" t="inlineStr">
        <is>
          <t>GB</t>
        </is>
      </c>
      <c r="D12" s="39" t="inlineStr">
        <is>
          <t>Sized for the largest job: a 220k-character proposal</t>
        </is>
      </c>
    </row>
    <row r="13" ht="6" customHeight="1"/>
    <row r="14" ht="18" customHeight="1">
      <c r="A14" s="20" t="inlineStr">
        <is>
          <t>WEB / API TIER</t>
        </is>
      </c>
      <c r="B14" s="20" t="inlineStr"/>
      <c r="C14" s="20" t="inlineStr"/>
      <c r="D14" s="20" t="inlineStr"/>
    </row>
    <row r="15">
      <c r="A15" s="36" t="inlineStr">
        <is>
          <t>Web/API containers - typical</t>
        </is>
      </c>
      <c r="B15" s="37" t="n">
        <v>2</v>
      </c>
      <c r="C15" s="38" t="inlineStr">
        <is>
          <t>containers</t>
        </is>
      </c>
      <c r="D15" s="39" t="inlineStr">
        <is>
          <t>Two zones - the availability floor</t>
        </is>
      </c>
    </row>
    <row r="16">
      <c r="A16" s="36" t="inlineStr">
        <is>
          <t>Web/API containers - peak</t>
        </is>
      </c>
      <c r="B16" s="37" t="n">
        <v>4</v>
      </c>
      <c r="C16" s="38" t="inlineStr">
        <is>
          <t>containers</t>
        </is>
      </c>
      <c r="D16" s="39" t="inlineStr">
        <is>
          <t>ESTIMATED - scales on request load</t>
        </is>
      </c>
    </row>
    <row r="17">
      <c r="A17" s="36" t="inlineStr">
        <is>
          <t>Processor cores each - typical</t>
        </is>
      </c>
      <c r="B17" s="40" t="n">
        <v>0.5</v>
      </c>
      <c r="C17" s="38" t="inlineStr">
        <is>
          <t>vCPU</t>
        </is>
      </c>
      <c r="D17" s="39" t="inlineStr">
        <is>
          <t>Mostly waiting on I/O</t>
        </is>
      </c>
    </row>
    <row r="18">
      <c r="A18" s="36" t="inlineStr">
        <is>
          <t>Memory each - typical</t>
        </is>
      </c>
      <c r="B18" s="40" t="n">
        <v>1</v>
      </c>
      <c r="C18" s="38" t="inlineStr">
        <is>
          <t>GB</t>
        </is>
      </c>
      <c r="D18" s="39" t="inlineStr">
        <is>
          <t>FastAPI plus the compiled front end</t>
        </is>
      </c>
    </row>
    <row r="19">
      <c r="A19" s="36" t="inlineStr">
        <is>
          <t>Processor cores each - peak</t>
        </is>
      </c>
      <c r="B19" s="40" t="n">
        <v>1</v>
      </c>
      <c r="C19" s="38" t="inlineStr">
        <is>
          <t>vCPU</t>
        </is>
      </c>
      <c r="D19" s="39" t="inlineStr">
        <is>
          <t>ESTIMATED</t>
        </is>
      </c>
    </row>
    <row r="20">
      <c r="A20" s="36" t="inlineStr">
        <is>
          <t>Memory each - peak</t>
        </is>
      </c>
      <c r="B20" s="40" t="n">
        <v>2</v>
      </c>
      <c r="C20" s="38" t="inlineStr">
        <is>
          <t>GB</t>
        </is>
      </c>
      <c r="D20" s="39" t="inlineStr">
        <is>
          <t>Upload buffering</t>
        </is>
      </c>
    </row>
    <row r="21" ht="6" customHeight="1"/>
    <row r="22" ht="18" customHeight="1">
      <c r="A22" s="20" t="inlineStr">
        <is>
          <t>STORAGE - one set for the whole platform</t>
        </is>
      </c>
      <c r="B22" s="20" t="inlineStr"/>
      <c r="C22" s="20" t="inlineStr"/>
      <c r="D22" s="20" t="inlineStr"/>
    </row>
    <row r="23">
      <c r="A23" s="36" t="inlineStr">
        <is>
          <t>Document store</t>
        </is>
      </c>
      <c r="B23" s="41" t="n">
        <v>0.5</v>
      </c>
      <c r="C23" s="38" t="inlineStr">
        <is>
          <t>GB</t>
        </is>
      </c>
      <c r="D23" s="39" t="inlineStr">
        <is>
          <t>YOUR FIGURE - 500 MB of RFQ documents</t>
        </is>
      </c>
    </row>
    <row r="24">
      <c r="A24" s="36" t="inlineStr">
        <is>
          <t>System file store</t>
        </is>
      </c>
      <c r="B24" s="37" t="n">
        <v>50</v>
      </c>
      <c r="C24" s="38" t="inlineStr">
        <is>
          <t>GB</t>
        </is>
      </c>
      <c r="D24" s="39" t="inlineStr">
        <is>
          <t>ESTIMATED - accounts, workflow, bidder registry</t>
        </is>
      </c>
    </row>
    <row r="25">
      <c r="A25" s="36" t="inlineStr">
        <is>
          <t>Disk per EC2 node</t>
        </is>
      </c>
      <c r="B25" s="37" t="n">
        <v>100</v>
      </c>
      <c r="C25" s="38" t="inlineStr">
        <is>
          <t>GB</t>
        </is>
      </c>
      <c r="D25" s="39" t="inlineStr">
        <is>
          <t>ESTIMATED - EC2 option only</t>
        </is>
      </c>
    </row>
    <row r="26" ht="6" customHeight="1"/>
    <row r="27" ht="18" customHeight="1">
      <c r="A27" s="20" t="inlineStr">
        <is>
          <t>FARGATE PRICES - us-east-1 list</t>
        </is>
      </c>
      <c r="B27" s="20" t="inlineStr"/>
      <c r="C27" s="20" t="inlineStr"/>
      <c r="D27" s="20" t="inlineStr"/>
    </row>
    <row r="28">
      <c r="A28" s="36" t="inlineStr">
        <is>
          <t>Fargate - per core-hour</t>
        </is>
      </c>
      <c r="B28" s="42" t="n">
        <v>0.04048</v>
      </c>
      <c r="C28" s="38" t="inlineStr">
        <is>
          <t>$</t>
        </is>
      </c>
      <c r="D28" s="39" t="inlineStr">
        <is>
          <t>AWS list price</t>
        </is>
      </c>
    </row>
    <row r="29">
      <c r="A29" s="36" t="inlineStr">
        <is>
          <t>Fargate - per GB-hour</t>
        </is>
      </c>
      <c r="B29" s="43" t="n">
        <v>0.004445</v>
      </c>
      <c r="C29" s="38" t="inlineStr">
        <is>
          <t>$</t>
        </is>
      </c>
      <c r="D29" s="39" t="inlineStr">
        <is>
          <t>AWS list price</t>
        </is>
      </c>
    </row>
    <row r="30">
      <c r="A30" s="36" t="inlineStr">
        <is>
          <t>Fargate SPOT - per core-hour</t>
        </is>
      </c>
      <c r="B30" s="42" t="n">
        <v>0.012144</v>
      </c>
      <c r="C30" s="38" t="inlineStr">
        <is>
          <t>$</t>
        </is>
      </c>
      <c r="D30" s="39" t="inlineStr">
        <is>
          <t>About 70% off on-demand</t>
        </is>
      </c>
    </row>
    <row r="31">
      <c r="A31" s="36" t="inlineStr">
        <is>
          <t>Fargate SPOT - per GB-hour</t>
        </is>
      </c>
      <c r="B31" s="43" t="n">
        <v>0.0013335</v>
      </c>
      <c r="C31" s="38" t="inlineStr">
        <is>
          <t>$</t>
        </is>
      </c>
      <c r="D31" s="39" t="inlineStr">
        <is>
          <t>About 70% off on-demand</t>
        </is>
      </c>
    </row>
    <row r="32" ht="6" customHeight="1"/>
    <row r="33" ht="18" customHeight="1">
      <c r="A33" s="20" t="inlineStr">
        <is>
          <t>EC2 PRICES - us-east-1 list</t>
        </is>
      </c>
      <c r="B33" s="20" t="inlineStr"/>
      <c r="C33" s="20" t="inlineStr"/>
      <c r="D33" s="20" t="inlineStr"/>
    </row>
    <row r="34">
      <c r="A34" s="36" t="inlineStr">
        <is>
          <t>m7g.xlarge - per hour</t>
        </is>
      </c>
      <c r="B34" s="42" t="n">
        <v>0.1632</v>
      </c>
      <c r="C34" s="38" t="inlineStr">
        <is>
          <t>$</t>
        </is>
      </c>
      <c r="D34" s="39" t="inlineStr">
        <is>
          <t>AWS list price, Graviton</t>
        </is>
      </c>
    </row>
    <row r="35">
      <c r="A35" s="36" t="inlineStr">
        <is>
          <t>m7g.xlarge - cores</t>
        </is>
      </c>
      <c r="B35" s="37" t="n">
        <v>4</v>
      </c>
      <c r="C35" s="38" t="inlineStr">
        <is>
          <t>vCPU</t>
        </is>
      </c>
      <c r="D35" s="39" t="inlineStr"/>
    </row>
    <row r="36">
      <c r="A36" s="36" t="inlineStr">
        <is>
          <t>m7g.xlarge - memory</t>
        </is>
      </c>
      <c r="B36" s="37" t="n">
        <v>16</v>
      </c>
      <c r="C36" s="38" t="inlineStr">
        <is>
          <t>GB</t>
        </is>
      </c>
      <c r="D36" s="39" t="inlineStr"/>
    </row>
    <row r="37">
      <c r="A37" s="36" t="inlineStr">
        <is>
          <t>Nodes - typical</t>
        </is>
      </c>
      <c r="B37" s="37" t="n">
        <v>3</v>
      </c>
      <c r="C37" s="38" t="inlineStr">
        <is>
          <t>count</t>
        </is>
      </c>
      <c r="D37" s="39" t="inlineStr">
        <is>
          <t>2 fits, but losing one would take the platform down</t>
        </is>
      </c>
    </row>
    <row r="38">
      <c r="A38" s="36" t="inlineStr">
        <is>
          <t>Nodes - peak</t>
        </is>
      </c>
      <c r="B38" s="37" t="n">
        <v>4</v>
      </c>
      <c r="C38" s="38" t="inlineStr">
        <is>
          <t>count</t>
        </is>
      </c>
      <c r="D38" s="39" t="inlineStr">
        <is>
          <t>Covers peak demand and still survives losing a node</t>
        </is>
      </c>
    </row>
    <row r="39">
      <c r="A39" s="36" t="inlineStr">
        <is>
          <t>EBS gp3 - per GB-month</t>
        </is>
      </c>
      <c r="B39" s="44" t="n">
        <v>0.08</v>
      </c>
      <c r="C39" s="38" t="inlineStr">
        <is>
          <t>$</t>
        </is>
      </c>
      <c r="D39" s="39" t="inlineStr">
        <is>
          <t>AWS list price</t>
        </is>
      </c>
    </row>
    <row r="40" ht="6" customHeight="1"/>
    <row r="41" ht="18" customHeight="1">
      <c r="A41" s="20" t="inlineStr">
        <is>
          <t>STORAGE PRICES</t>
        </is>
      </c>
      <c r="B41" s="20" t="inlineStr"/>
      <c r="C41" s="20" t="inlineStr"/>
      <c r="D41" s="20" t="inlineStr"/>
    </row>
    <row r="42">
      <c r="A42" s="36" t="inlineStr">
        <is>
          <t>S3 Standard - per GB-month</t>
        </is>
      </c>
      <c r="B42" s="44" t="n">
        <v>0.023</v>
      </c>
      <c r="C42" s="38" t="inlineStr">
        <is>
          <t>$</t>
        </is>
      </c>
      <c r="D42" s="39" t="inlineStr">
        <is>
          <t>AWS list price</t>
        </is>
      </c>
    </row>
    <row r="43">
      <c r="A43" s="36" t="inlineStr">
        <is>
          <t>EFS Standard - per GB-month</t>
        </is>
      </c>
      <c r="B43" s="44" t="n">
        <v>0.3</v>
      </c>
      <c r="C43" s="38" t="inlineStr">
        <is>
          <t>$</t>
        </is>
      </c>
      <c r="D43" s="39" t="inlineStr">
        <is>
          <t>AWS list price</t>
        </is>
      </c>
    </row>
    <row r="44" ht="6" customHeight="1"/>
    <row r="45" ht="18" customHeight="1">
      <c r="A45" s="20" t="inlineStr">
        <is>
          <t>OTHER CLOUD INFRASTRUCTURE</t>
        </is>
      </c>
      <c r="B45" s="20" t="inlineStr"/>
      <c r="C45" s="20" t="inlineStr"/>
      <c r="D45" s="20" t="inlineStr"/>
    </row>
    <row r="46">
      <c r="A46" s="36" t="inlineStr">
        <is>
          <t>Load balancer</t>
        </is>
      </c>
      <c r="B46" s="45" t="n">
        <v>46</v>
      </c>
      <c r="C46" s="38" t="inlineStr">
        <is>
          <t>$/month</t>
        </is>
      </c>
      <c r="D46" s="39" t="inlineStr">
        <is>
          <t>Fixed hourly charge plus capacity units</t>
        </is>
      </c>
    </row>
    <row r="47">
      <c r="A47" s="36" t="inlineStr">
        <is>
          <t>NAT Gateways x2</t>
        </is>
      </c>
      <c r="B47" s="45" t="n">
        <v>68</v>
      </c>
      <c r="C47" s="38" t="inlineStr">
        <is>
          <t>$/month</t>
        </is>
      </c>
      <c r="D47" s="39" t="inlineStr">
        <is>
          <t>Egress to the model provider</t>
        </is>
      </c>
    </row>
    <row r="48">
      <c r="A48" s="36" t="inlineStr">
        <is>
          <t>VPC endpoints x8</t>
        </is>
      </c>
      <c r="B48" s="45" t="n">
        <v>58</v>
      </c>
      <c r="C48" s="38" t="inlineStr">
        <is>
          <t>$/month</t>
        </is>
      </c>
      <c r="D48" s="39" t="inlineStr">
        <is>
          <t>Keeps AWS traffic off the NAT</t>
        </is>
      </c>
    </row>
    <row r="49">
      <c r="A49" s="36" t="inlineStr">
        <is>
          <t>Logs</t>
        </is>
      </c>
      <c r="B49" s="45" t="n">
        <v>5</v>
      </c>
      <c r="C49" s="38" t="inlineStr">
        <is>
          <t>$/month</t>
        </is>
      </c>
      <c r="D49" s="39" t="inlineStr">
        <is>
          <t>About 10 GB/month ingested</t>
        </is>
      </c>
    </row>
    <row r="50">
      <c r="A50" s="36" t="inlineStr">
        <is>
          <t>Backup and snapshots</t>
        </is>
      </c>
      <c r="B50" s="45" t="n">
        <v>10</v>
      </c>
      <c r="C50" s="38" t="inlineStr">
        <is>
          <t>$/month</t>
        </is>
      </c>
      <c r="D50" s="39" t="inlineStr">
        <is>
          <t>ESTIMATED</t>
        </is>
      </c>
    </row>
    <row r="51">
      <c r="A51" s="36" t="inlineStr">
        <is>
          <t>Registry, DNS, secrets, certificate, scheduler</t>
        </is>
      </c>
      <c r="B51" s="45" t="n">
        <v>2</v>
      </c>
      <c r="C51" s="38" t="inlineStr">
        <is>
          <t>$/month</t>
        </is>
      </c>
      <c r="D51" s="39" t="inlineStr">
        <is>
          <t>Cluster and certificate are free</t>
        </is>
      </c>
    </row>
    <row r="52" ht="6" customHeight="1"/>
    <row r="53" ht="18" customHeight="1">
      <c r="A53" s="20" t="inlineStr">
        <is>
          <t>LEVERS</t>
        </is>
      </c>
      <c r="B53" s="20" t="inlineStr"/>
      <c r="C53" s="20" t="inlineStr"/>
      <c r="D53" s="20" t="inlineStr"/>
    </row>
    <row r="54">
      <c r="A54" s="36" t="inlineStr">
        <is>
          <t>Region price multiplier</t>
        </is>
      </c>
      <c r="B54" s="41" t="n">
        <v>1</v>
      </c>
      <c r="C54" s="38" t="inlineStr">
        <is>
          <t>x</t>
        </is>
      </c>
      <c r="D54" s="39" t="inlineStr">
        <is>
          <t>1.00 = us-east-1. UAE is roughly 1.15-1.20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2026-08-18T02:35:45Z</dcterms:created>
  <dcterms:modified xmlns:dcterms="http://purl.org/dc/terms/" xmlns:xsi="http://www.w3.org/2001/XMLSchema-instance" xsi:type="dcterms:W3CDTF">2026-08-18T02:35:45Z</dcterms:modified>
</cp:coreProperties>
</file>